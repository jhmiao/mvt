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8976CAD1-661D-F349-B13B-DE3557B1D73E}" xr6:coauthVersionLast="47" xr6:coauthVersionMax="47" xr10:uidLastSave="{00000000-0000-0000-0000-000000000000}"/>
  <bookViews>
    <workbookView xWindow="0" yWindow="760" windowWidth="30240" windowHeight="18880" activeTab="7" xr2:uid="{48D5C10A-5D5D-334E-A31C-46DFAAAAA253}"/>
  </bookViews>
  <sheets>
    <sheet name="process-1" sheetId="1" r:id="rId1"/>
    <sheet name="process-2" sheetId="2" r:id="rId2"/>
    <sheet name="c101" sheetId="3" r:id="rId3"/>
    <sheet name="c201" sheetId="5" r:id="rId4"/>
    <sheet name="r101" sheetId="6" r:id="rId5"/>
    <sheet name="rc101" sheetId="7" r:id="rId6"/>
    <sheet name="Sheet4" sheetId="4" r:id="rId7"/>
    <sheet name="small_instanc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8" l="1"/>
  <c r="G30" i="8"/>
  <c r="G35" i="8"/>
  <c r="H35" i="8" s="1"/>
  <c r="G37" i="8"/>
  <c r="H37" i="8" s="1"/>
  <c r="G32" i="8"/>
  <c r="H32" i="8" s="1"/>
  <c r="G27" i="8"/>
  <c r="H27" i="8" s="1"/>
  <c r="G21" i="8"/>
  <c r="H21" i="8" s="1"/>
  <c r="G25" i="8"/>
  <c r="H25" i="8" s="1"/>
  <c r="G23" i="8"/>
  <c r="H23" i="8" s="1"/>
  <c r="G15" i="8"/>
  <c r="H15" i="8" s="1"/>
  <c r="G11" i="8"/>
  <c r="G17" i="8"/>
  <c r="G4" i="8"/>
  <c r="H4" i="8" s="1"/>
  <c r="G8" i="8"/>
  <c r="H8" i="8" s="1"/>
  <c r="G2" i="8"/>
  <c r="H2" i="8" s="1"/>
  <c r="G6" i="8"/>
  <c r="H6" i="8" s="1"/>
  <c r="H4" i="3"/>
  <c r="L24" i="7"/>
  <c r="K24" i="7"/>
  <c r="J24" i="7"/>
  <c r="E24" i="7"/>
  <c r="G34" i="5"/>
  <c r="L34" i="5"/>
  <c r="I34" i="5"/>
  <c r="I35" i="5"/>
  <c r="I36" i="5"/>
  <c r="I37" i="5"/>
  <c r="L26" i="5"/>
  <c r="G26" i="5"/>
  <c r="L25" i="5"/>
  <c r="I25" i="5"/>
  <c r="G25" i="5"/>
  <c r="L24" i="5"/>
  <c r="I24" i="5"/>
  <c r="G24" i="5"/>
  <c r="L37" i="5"/>
  <c r="G37" i="5"/>
  <c r="G36" i="5"/>
  <c r="L36" i="5"/>
  <c r="G35" i="5"/>
  <c r="L35" i="5"/>
  <c r="I32" i="5"/>
  <c r="I30" i="5"/>
  <c r="I27" i="5"/>
  <c r="I43" i="5"/>
  <c r="I41" i="5"/>
  <c r="I39" i="5"/>
  <c r="I38" i="5"/>
  <c r="I38" i="7"/>
  <c r="I36" i="7"/>
  <c r="E23" i="3"/>
  <c r="K23" i="3"/>
  <c r="J23" i="3"/>
  <c r="L23" i="3" s="1"/>
  <c r="L22" i="3"/>
  <c r="L21" i="3"/>
  <c r="L36" i="3"/>
  <c r="G36" i="3"/>
  <c r="L35" i="3"/>
  <c r="G35" i="3"/>
  <c r="L34" i="3"/>
  <c r="G34" i="3"/>
  <c r="L33" i="3"/>
  <c r="G33" i="3"/>
  <c r="L32" i="3"/>
  <c r="I32" i="3"/>
  <c r="G32" i="3"/>
  <c r="L31" i="3"/>
  <c r="I31" i="3"/>
  <c r="G31" i="3"/>
  <c r="L29" i="3"/>
  <c r="I29" i="3"/>
  <c r="G29" i="3"/>
  <c r="L28" i="3"/>
  <c r="G28" i="3"/>
  <c r="L27" i="3"/>
  <c r="I27" i="3"/>
  <c r="G27" i="3"/>
  <c r="L26" i="3"/>
  <c r="G26" i="3"/>
  <c r="L25" i="3"/>
  <c r="I25" i="3"/>
  <c r="G25" i="3"/>
  <c r="L24" i="3"/>
  <c r="I24" i="3"/>
  <c r="G24" i="3"/>
  <c r="K22" i="5"/>
  <c r="J22" i="5"/>
  <c r="L21" i="5"/>
  <c r="L20" i="5"/>
  <c r="E22" i="5"/>
  <c r="L43" i="5"/>
  <c r="G43" i="5"/>
  <c r="L42" i="5"/>
  <c r="G42" i="5"/>
  <c r="L41" i="5"/>
  <c r="G41" i="5"/>
  <c r="L40" i="5"/>
  <c r="G40" i="5"/>
  <c r="L39" i="5"/>
  <c r="G39" i="5"/>
  <c r="L38" i="5"/>
  <c r="G38" i="5"/>
  <c r="L32" i="5"/>
  <c r="G32" i="5"/>
  <c r="L31" i="5"/>
  <c r="G31" i="5"/>
  <c r="L30" i="5"/>
  <c r="G30" i="5"/>
  <c r="L29" i="5"/>
  <c r="G29" i="5"/>
  <c r="L28" i="5"/>
  <c r="I28" i="5"/>
  <c r="G28" i="5"/>
  <c r="L27" i="5"/>
  <c r="G27" i="5"/>
  <c r="I34" i="7"/>
  <c r="I33" i="7"/>
  <c r="L31" i="7"/>
  <c r="I29" i="7"/>
  <c r="I31" i="7"/>
  <c r="I27" i="7"/>
  <c r="I26" i="7"/>
  <c r="K23" i="7"/>
  <c r="J23" i="7"/>
  <c r="L22" i="7"/>
  <c r="L21" i="7"/>
  <c r="E23" i="7"/>
  <c r="L38" i="7"/>
  <c r="G38" i="7"/>
  <c r="L37" i="7"/>
  <c r="G37" i="7"/>
  <c r="L36" i="7"/>
  <c r="G36" i="7"/>
  <c r="L35" i="7"/>
  <c r="G35" i="7"/>
  <c r="L34" i="7"/>
  <c r="G34" i="7"/>
  <c r="L33" i="7"/>
  <c r="G33" i="7"/>
  <c r="G31" i="7"/>
  <c r="L30" i="7"/>
  <c r="G30" i="7"/>
  <c r="L29" i="7"/>
  <c r="G29" i="7"/>
  <c r="L28" i="7"/>
  <c r="G28" i="7"/>
  <c r="L27" i="7"/>
  <c r="G27" i="7"/>
  <c r="L26" i="7"/>
  <c r="G26" i="7"/>
  <c r="E27" i="6"/>
  <c r="G41" i="6"/>
  <c r="I28" i="6"/>
  <c r="I41" i="6"/>
  <c r="I33" i="6"/>
  <c r="I32" i="6"/>
  <c r="I31" i="6"/>
  <c r="I30" i="6"/>
  <c r="I29" i="6"/>
  <c r="I37" i="6"/>
  <c r="L41" i="6"/>
  <c r="L40" i="6"/>
  <c r="I40" i="6"/>
  <c r="I39" i="6"/>
  <c r="I38" i="6"/>
  <c r="I36" i="6"/>
  <c r="G40" i="6"/>
  <c r="G39" i="6"/>
  <c r="G38" i="6"/>
  <c r="G37" i="6"/>
  <c r="G36" i="6"/>
  <c r="G33" i="6"/>
  <c r="G32" i="6"/>
  <c r="G31" i="6"/>
  <c r="G30" i="6"/>
  <c r="G29" i="6"/>
  <c r="G28" i="6"/>
  <c r="L39" i="6"/>
  <c r="L38" i="6"/>
  <c r="L37" i="6"/>
  <c r="L36" i="6"/>
  <c r="H3" i="6"/>
  <c r="H15" i="3"/>
  <c r="H11" i="3"/>
  <c r="H7" i="3"/>
  <c r="H3" i="3"/>
  <c r="F16" i="6"/>
  <c r="E16" i="6"/>
  <c r="G16" i="6" s="1"/>
  <c r="G15" i="6"/>
  <c r="G14" i="6"/>
  <c r="L32" i="6"/>
  <c r="L33" i="6"/>
  <c r="L31" i="6"/>
  <c r="L30" i="6"/>
  <c r="L29" i="6"/>
  <c r="L28" i="6"/>
  <c r="K27" i="6"/>
  <c r="J27" i="6"/>
  <c r="F16" i="5"/>
  <c r="E16" i="5"/>
  <c r="G16" i="5" s="1"/>
  <c r="F16" i="3"/>
  <c r="E16" i="3"/>
  <c r="G16" i="3" s="1"/>
  <c r="F12" i="7"/>
  <c r="E12" i="7"/>
  <c r="H11" i="7" s="1"/>
  <c r="F12" i="5"/>
  <c r="E12" i="5"/>
  <c r="H11" i="5" s="1"/>
  <c r="F12" i="3"/>
  <c r="E12" i="3"/>
  <c r="G12" i="3" s="1"/>
  <c r="F4" i="7"/>
  <c r="E4" i="7"/>
  <c r="H3" i="7" s="1"/>
  <c r="L26" i="6"/>
  <c r="L25" i="6"/>
  <c r="G11" i="7"/>
  <c r="G10" i="7"/>
  <c r="G3" i="7"/>
  <c r="G2" i="7"/>
  <c r="F4" i="6"/>
  <c r="E4" i="6"/>
  <c r="G15" i="5"/>
  <c r="G14" i="5"/>
  <c r="G11" i="5"/>
  <c r="G10" i="5"/>
  <c r="G3" i="5"/>
  <c r="G2" i="5"/>
  <c r="F4" i="5"/>
  <c r="E4" i="5"/>
  <c r="H3" i="5" s="1"/>
  <c r="F8" i="7"/>
  <c r="E8" i="7"/>
  <c r="G8" i="7" s="1"/>
  <c r="G7" i="7"/>
  <c r="G6" i="7"/>
  <c r="G7" i="6"/>
  <c r="G6" i="6"/>
  <c r="G3" i="6"/>
  <c r="G2" i="6"/>
  <c r="F8" i="6"/>
  <c r="E8" i="6"/>
  <c r="H7" i="6" s="1"/>
  <c r="G15" i="3"/>
  <c r="G14" i="3"/>
  <c r="G11" i="3"/>
  <c r="G10" i="3"/>
  <c r="G8" i="3"/>
  <c r="G7" i="3"/>
  <c r="G6" i="3"/>
  <c r="F8" i="3"/>
  <c r="E8" i="3"/>
  <c r="F16" i="7"/>
  <c r="E16" i="7"/>
  <c r="G15" i="7"/>
  <c r="G14" i="7"/>
  <c r="F12" i="6"/>
  <c r="E12" i="6"/>
  <c r="G12" i="6" s="1"/>
  <c r="G11" i="6"/>
  <c r="G10" i="6"/>
  <c r="F8" i="5"/>
  <c r="E8" i="5"/>
  <c r="G7" i="5"/>
  <c r="G6" i="5"/>
  <c r="F4" i="3"/>
  <c r="E4" i="3"/>
  <c r="G4" i="3" s="1"/>
  <c r="G3" i="3"/>
  <c r="G2" i="3"/>
  <c r="F16" i="2"/>
  <c r="E16" i="2"/>
  <c r="G15" i="2"/>
  <c r="G14" i="2"/>
  <c r="G11" i="2"/>
  <c r="G10" i="2"/>
  <c r="G12" i="2"/>
  <c r="F12" i="2"/>
  <c r="E12" i="2"/>
  <c r="G7" i="2"/>
  <c r="F4" i="2"/>
  <c r="E4" i="2"/>
  <c r="G6" i="2"/>
  <c r="G8" i="2"/>
  <c r="F8" i="2"/>
  <c r="E8" i="2"/>
  <c r="G2" i="2"/>
  <c r="G3" i="2"/>
  <c r="G7" i="1"/>
  <c r="G6" i="1"/>
  <c r="G8" i="1"/>
  <c r="G3" i="1"/>
  <c r="G2" i="1"/>
  <c r="G4" i="1"/>
  <c r="H11" i="8" l="1"/>
  <c r="H17" i="8"/>
  <c r="G16" i="7"/>
  <c r="L23" i="7"/>
  <c r="G8" i="5"/>
  <c r="H7" i="5"/>
  <c r="H15" i="5"/>
  <c r="L22" i="5"/>
  <c r="G4" i="5"/>
  <c r="G12" i="5"/>
  <c r="G4" i="7"/>
  <c r="H7" i="7"/>
  <c r="H15" i="7"/>
  <c r="H11" i="6"/>
  <c r="H15" i="6"/>
  <c r="G4" i="6"/>
  <c r="G8" i="6"/>
  <c r="L27" i="6"/>
  <c r="G12" i="7"/>
  <c r="G16" i="2"/>
  <c r="G4" i="2"/>
</calcChain>
</file>

<file path=xl/sharedStrings.xml><?xml version="1.0" encoding="utf-8"?>
<sst xmlns="http://schemas.openxmlformats.org/spreadsheetml/2006/main" count="409" uniqueCount="89">
  <si>
    <t>data</t>
  </si>
  <si>
    <t>c105</t>
  </si>
  <si>
    <t>model</t>
  </si>
  <si>
    <t>C1</t>
  </si>
  <si>
    <t>H</t>
  </si>
  <si>
    <t>work limit</t>
  </si>
  <si>
    <t>max-hour</t>
  </si>
  <si>
    <t>obj</t>
  </si>
  <si>
    <t>bound</t>
  </si>
  <si>
    <t>gap</t>
  </si>
  <si>
    <t>c108</t>
  </si>
  <si>
    <t>c101</t>
  </si>
  <si>
    <t>c201</t>
  </si>
  <si>
    <t>r101</t>
  </si>
  <si>
    <t>rc101</t>
  </si>
  <si>
    <t>day 1</t>
  </si>
  <si>
    <t>day 2</t>
  </si>
  <si>
    <t>day 3</t>
  </si>
  <si>
    <t>day 4</t>
  </si>
  <si>
    <t>day 5</t>
  </si>
  <si>
    <t>c101-2</t>
  </si>
  <si>
    <t>r101-1</t>
  </si>
  <si>
    <t>r101-2</t>
  </si>
  <si>
    <t>rc101-1</t>
  </si>
  <si>
    <t>rc101-2</t>
  </si>
  <si>
    <t>rc101-3</t>
  </si>
  <si>
    <t>c101-3</t>
  </si>
  <si>
    <t>c101-4</t>
  </si>
  <si>
    <t>c201-1</t>
  </si>
  <si>
    <t>c201-3</t>
  </si>
  <si>
    <t>c201-4</t>
  </si>
  <si>
    <t>r101-4</t>
  </si>
  <si>
    <t>fair; 100</t>
  </si>
  <si>
    <t>18-19.5</t>
  </si>
  <si>
    <t>fair; 50</t>
  </si>
  <si>
    <t>fair; 20</t>
  </si>
  <si>
    <t>fair; 10</t>
  </si>
  <si>
    <t>17-18.5</t>
  </si>
  <si>
    <t>16.5-18.5</t>
  </si>
  <si>
    <t>fair; 1</t>
  </si>
  <si>
    <t>hours</t>
  </si>
  <si>
    <t>12-22.5</t>
  </si>
  <si>
    <t>0-25</t>
  </si>
  <si>
    <t>0-32.5</t>
  </si>
  <si>
    <t>15.5-18.5</t>
  </si>
  <si>
    <t>fair; 5</t>
  </si>
  <si>
    <t>orig-obj</t>
  </si>
  <si>
    <t>max-min</t>
  </si>
  <si>
    <t>max</t>
  </si>
  <si>
    <t>0-18.5</t>
  </si>
  <si>
    <t>6-19.0</t>
  </si>
  <si>
    <t>0-19.0</t>
  </si>
  <si>
    <t>0-19.5</t>
  </si>
  <si>
    <t>17.0-18.5</t>
  </si>
  <si>
    <t>(check)</t>
  </si>
  <si>
    <t>0-22.5</t>
  </si>
  <si>
    <t>work</t>
  </si>
  <si>
    <t>constraint</t>
  </si>
  <si>
    <t>diff</t>
  </si>
  <si>
    <t>range</t>
  </si>
  <si>
    <t>16.5-18</t>
  </si>
  <si>
    <t>0-33</t>
  </si>
  <si>
    <t>14-20.5</t>
  </si>
  <si>
    <t>16-18.5</t>
  </si>
  <si>
    <t>14-18</t>
  </si>
  <si>
    <t>5-18.5</t>
  </si>
  <si>
    <t>5.5-19</t>
  </si>
  <si>
    <t>0-21.5</t>
  </si>
  <si>
    <t>5-19.5</t>
  </si>
  <si>
    <t>5-19.0</t>
  </si>
  <si>
    <t>5-20.0</t>
  </si>
  <si>
    <t>5-24.5</t>
  </si>
  <si>
    <t>0-35</t>
  </si>
  <si>
    <t>17-19</t>
  </si>
  <si>
    <t>11-24.5</t>
  </si>
  <si>
    <t>fair; 1000</t>
  </si>
  <si>
    <t>18-19</t>
  </si>
  <si>
    <t>fair; 500</t>
  </si>
  <si>
    <t>18.5-20</t>
  </si>
  <si>
    <t>fair; 200</t>
  </si>
  <si>
    <t>19-20</t>
  </si>
  <si>
    <t>11.5-18.5</t>
  </si>
  <si>
    <t>11-18.5</t>
  </si>
  <si>
    <t>fair; 10000</t>
  </si>
  <si>
    <t>n</t>
  </si>
  <si>
    <t>m</t>
  </si>
  <si>
    <t>C</t>
  </si>
  <si>
    <t>infeasible</t>
  </si>
  <si>
    <t>max_hour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</si>
</sst>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16" fontId="0" fillId="0" borderId="0" xfId="0" applyNumberFormat="1"/>
    <xf numFmtId="0" fontId="2" fillId="0" borderId="0" xfId="0" applyFont="1"/>
    <xf numFmtId="11" fontId="0" fillId="0" borderId="0" xfId="0" applyNumberFormat="1"/>
    <xf numFmtId="0" fontId="0" fillId="0" borderId="0" xfId="0" applyAlignment="1">
      <alignment horizontal="righ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88A1-AAD0-8F45-AC45-EFD5956A796A}">
  <dimension ref="A1:G8"/>
  <sheetViews>
    <sheetView zoomScale="191" workbookViewId="0">
      <selection activeCell="G4" sqref="G4"/>
    </sheetView>
  </sheetViews>
  <sheetFormatPr baseColWidth="10" defaultRowHeight="16" x14ac:dyDescent="0.2"/>
  <sheetData>
    <row r="1" spans="1:7" x14ac:dyDescent="0.2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 t="s">
        <v>1</v>
      </c>
      <c r="B2" t="s">
        <v>3</v>
      </c>
      <c r="C2">
        <v>1000</v>
      </c>
      <c r="D2">
        <v>0</v>
      </c>
      <c r="E2">
        <v>7140</v>
      </c>
      <c r="F2">
        <v>6223</v>
      </c>
      <c r="G2">
        <f>(E2-F2)/E2</f>
        <v>0.1284313725490196</v>
      </c>
    </row>
    <row r="3" spans="1:7" x14ac:dyDescent="0.2">
      <c r="B3" t="s">
        <v>3</v>
      </c>
      <c r="C3">
        <v>1000</v>
      </c>
      <c r="D3">
        <v>25</v>
      </c>
      <c r="E3">
        <v>7179</v>
      </c>
      <c r="F3">
        <v>6028</v>
      </c>
      <c r="G3">
        <f>(E3-F3)/E3</f>
        <v>0.16032873659284022</v>
      </c>
    </row>
    <row r="4" spans="1:7" x14ac:dyDescent="0.2">
      <c r="B4" t="s">
        <v>4</v>
      </c>
      <c r="C4">
        <v>1000</v>
      </c>
      <c r="D4">
        <v>25</v>
      </c>
      <c r="E4">
        <v>7185</v>
      </c>
      <c r="F4">
        <v>6113</v>
      </c>
      <c r="G4">
        <f>(E4-F4)/E4</f>
        <v>0.14919972164231038</v>
      </c>
    </row>
    <row r="6" spans="1:7" x14ac:dyDescent="0.2">
      <c r="A6" t="s">
        <v>10</v>
      </c>
      <c r="B6" t="s">
        <v>3</v>
      </c>
      <c r="C6">
        <v>1000</v>
      </c>
      <c r="D6">
        <v>0</v>
      </c>
      <c r="E6">
        <v>6764</v>
      </c>
      <c r="F6">
        <v>4936</v>
      </c>
      <c r="G6">
        <f>(E6-F6)/E6</f>
        <v>0.270254287403903</v>
      </c>
    </row>
    <row r="7" spans="1:7" x14ac:dyDescent="0.2">
      <c r="B7" t="s">
        <v>3</v>
      </c>
      <c r="C7">
        <v>1000</v>
      </c>
      <c r="D7">
        <v>25</v>
      </c>
      <c r="E7">
        <v>6954</v>
      </c>
      <c r="F7">
        <v>5123</v>
      </c>
      <c r="G7">
        <f>(E7-F7)/E7</f>
        <v>0.26330169686511362</v>
      </c>
    </row>
    <row r="8" spans="1:7" x14ac:dyDescent="0.2">
      <c r="B8" t="s">
        <v>4</v>
      </c>
      <c r="C8">
        <v>1000</v>
      </c>
      <c r="D8">
        <v>25</v>
      </c>
      <c r="E8">
        <v>6726</v>
      </c>
      <c r="F8">
        <v>5047</v>
      </c>
      <c r="G8">
        <f>(E8-F8)/E8</f>
        <v>0.24962830805828129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DDF6-8DC6-0E4D-9A80-4AE6A58C9889}">
  <dimension ref="A1:G16"/>
  <sheetViews>
    <sheetView zoomScale="184" workbookViewId="0">
      <selection activeCell="E17" sqref="E17"/>
    </sheetView>
  </sheetViews>
  <sheetFormatPr baseColWidth="10" defaultRowHeight="16" x14ac:dyDescent="0.2"/>
  <cols>
    <col min="9" max="9" width="11" customWidth="1"/>
  </cols>
  <sheetData>
    <row r="1" spans="1:7" x14ac:dyDescent="0.2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 t="s">
        <v>11</v>
      </c>
      <c r="B2" t="s">
        <v>3</v>
      </c>
      <c r="C2">
        <v>1000</v>
      </c>
      <c r="D2">
        <v>0</v>
      </c>
      <c r="E2">
        <v>7142</v>
      </c>
      <c r="F2">
        <v>5960</v>
      </c>
      <c r="G2">
        <f>(E2-F2)/E2</f>
        <v>0.16549985998319799</v>
      </c>
    </row>
    <row r="3" spans="1:7" x14ac:dyDescent="0.2">
      <c r="B3" t="s">
        <v>3</v>
      </c>
      <c r="C3">
        <v>1000</v>
      </c>
      <c r="D3">
        <v>25</v>
      </c>
      <c r="E3">
        <v>7391</v>
      </c>
      <c r="F3">
        <v>5631</v>
      </c>
      <c r="G3">
        <f>(E3-F3)/E3</f>
        <v>0.23812745230685969</v>
      </c>
    </row>
    <row r="4" spans="1:7" x14ac:dyDescent="0.2">
      <c r="B4" t="s">
        <v>4</v>
      </c>
      <c r="C4">
        <v>1000</v>
      </c>
      <c r="D4">
        <v>25</v>
      </c>
      <c r="E4" s="1">
        <f>SUM(848,956,1434,2570,1471)</f>
        <v>7279</v>
      </c>
      <c r="F4" s="1">
        <f>SUM(848,843,1221,2445,965)</f>
        <v>6322</v>
      </c>
      <c r="G4" s="1">
        <f>(E4-F4)/F4</f>
        <v>0.15137614678899083</v>
      </c>
    </row>
    <row r="6" spans="1:7" x14ac:dyDescent="0.2">
      <c r="A6" t="s">
        <v>12</v>
      </c>
      <c r="B6" t="s">
        <v>3</v>
      </c>
      <c r="C6">
        <v>1000</v>
      </c>
      <c r="D6">
        <v>0</v>
      </c>
      <c r="E6">
        <v>6999</v>
      </c>
      <c r="F6">
        <v>5941</v>
      </c>
      <c r="G6">
        <f t="shared" ref="G6" si="0">(E6-F6)/E6</f>
        <v>0.15116445206458065</v>
      </c>
    </row>
    <row r="7" spans="1:7" x14ac:dyDescent="0.2">
      <c r="B7" t="s">
        <v>3</v>
      </c>
      <c r="C7">
        <v>1000</v>
      </c>
      <c r="D7">
        <v>25</v>
      </c>
      <c r="E7">
        <v>7686</v>
      </c>
      <c r="F7">
        <v>5375</v>
      </c>
      <c r="G7">
        <f>(E7-F7)/E7</f>
        <v>0.30067655477491545</v>
      </c>
    </row>
    <row r="8" spans="1:7" x14ac:dyDescent="0.2">
      <c r="B8" t="s">
        <v>4</v>
      </c>
      <c r="C8">
        <v>1000</v>
      </c>
      <c r="D8">
        <v>25</v>
      </c>
      <c r="E8" s="1">
        <f>SUM(1999,1276,978,1463,1026)</f>
        <v>6742</v>
      </c>
      <c r="F8" s="1">
        <f>SUM(1976,1013,978,1286,1026)</f>
        <v>6279</v>
      </c>
      <c r="G8" s="1">
        <f t="shared" ref="G8" si="1">(E8-F8)/E8</f>
        <v>6.8673983981014541E-2</v>
      </c>
    </row>
    <row r="10" spans="1:7" x14ac:dyDescent="0.2">
      <c r="A10" t="s">
        <v>13</v>
      </c>
      <c r="B10" t="s">
        <v>3</v>
      </c>
      <c r="C10">
        <v>1000</v>
      </c>
      <c r="D10">
        <v>0</v>
      </c>
      <c r="E10">
        <v>5807</v>
      </c>
      <c r="F10">
        <v>4764</v>
      </c>
      <c r="G10">
        <f t="shared" ref="G10" si="2">(E10-F10)/E10</f>
        <v>0.17961081453418287</v>
      </c>
    </row>
    <row r="11" spans="1:7" x14ac:dyDescent="0.2">
      <c r="B11" t="s">
        <v>3</v>
      </c>
      <c r="C11">
        <v>1000</v>
      </c>
      <c r="D11">
        <v>25</v>
      </c>
      <c r="E11">
        <v>5927</v>
      </c>
      <c r="F11">
        <v>4571</v>
      </c>
      <c r="G11">
        <f>(E11-F11)/E11</f>
        <v>0.22878353298464654</v>
      </c>
    </row>
    <row r="12" spans="1:7" x14ac:dyDescent="0.2">
      <c r="B12" t="s">
        <v>4</v>
      </c>
      <c r="C12">
        <v>1000</v>
      </c>
      <c r="D12">
        <v>25</v>
      </c>
      <c r="E12" s="1">
        <f>SUM(326,1160,1412,1308,1682)</f>
        <v>5888</v>
      </c>
      <c r="F12" s="1">
        <f>SUM(326,783,1170,1082,1506)</f>
        <v>4867</v>
      </c>
      <c r="G12" s="1">
        <f t="shared" ref="G12" si="3">(E12-F12)/E12</f>
        <v>0.17340353260869565</v>
      </c>
    </row>
    <row r="14" spans="1:7" x14ac:dyDescent="0.2">
      <c r="A14" t="s">
        <v>14</v>
      </c>
      <c r="B14" t="s">
        <v>3</v>
      </c>
      <c r="C14">
        <v>1000</v>
      </c>
      <c r="D14">
        <v>0</v>
      </c>
      <c r="E14">
        <v>8029</v>
      </c>
      <c r="F14">
        <v>7134</v>
      </c>
      <c r="G14">
        <f>(E14-F14)/E14</f>
        <v>0.11147091792253083</v>
      </c>
    </row>
    <row r="15" spans="1:7" x14ac:dyDescent="0.2">
      <c r="B15" t="s">
        <v>3</v>
      </c>
      <c r="C15">
        <v>1000</v>
      </c>
      <c r="D15">
        <v>25</v>
      </c>
      <c r="E15">
        <v>8111</v>
      </c>
      <c r="F15">
        <v>6795</v>
      </c>
      <c r="G15">
        <f t="shared" ref="G15" si="4">(E15-F15)/E15</f>
        <v>0.16224879792873875</v>
      </c>
    </row>
    <row r="16" spans="1:7" x14ac:dyDescent="0.2">
      <c r="B16" t="s">
        <v>4</v>
      </c>
      <c r="C16">
        <v>1000</v>
      </c>
      <c r="D16">
        <v>25</v>
      </c>
      <c r="E16" s="1">
        <f>SUM(1061,1326,2009,1665,1807)</f>
        <v>7868</v>
      </c>
      <c r="F16" s="1">
        <f>SUM(1005,1198,1857,1526,1479)</f>
        <v>7065</v>
      </c>
      <c r="G16" s="1">
        <f t="shared" ref="G16" si="5">(E16-F16)/E16</f>
        <v>0.10205897305541434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451C-9ACE-CB46-AD17-CE49E4AD7D95}">
  <dimension ref="A1:L36"/>
  <sheetViews>
    <sheetView topLeftCell="A4" zoomScale="183" zoomScaleNormal="167" workbookViewId="0">
      <selection activeCell="D18" sqref="D18"/>
    </sheetView>
  </sheetViews>
  <sheetFormatPr baseColWidth="10" defaultRowHeight="16" x14ac:dyDescent="0.2"/>
  <sheetData>
    <row r="1" spans="1:8" x14ac:dyDescent="0.2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8" x14ac:dyDescent="0.2">
      <c r="A2" t="s">
        <v>11</v>
      </c>
      <c r="B2" t="s">
        <v>3</v>
      </c>
      <c r="C2">
        <v>1000</v>
      </c>
      <c r="D2">
        <v>0</v>
      </c>
      <c r="E2">
        <v>7142</v>
      </c>
      <c r="F2">
        <v>5960</v>
      </c>
      <c r="G2">
        <f>(E2-F2)/E2</f>
        <v>0.16549985998319799</v>
      </c>
    </row>
    <row r="3" spans="1:8" x14ac:dyDescent="0.2">
      <c r="B3" t="s">
        <v>3</v>
      </c>
      <c r="C3">
        <v>1000</v>
      </c>
      <c r="D3">
        <v>25</v>
      </c>
      <c r="E3">
        <v>7391</v>
      </c>
      <c r="F3">
        <v>5631</v>
      </c>
      <c r="G3">
        <f>(E3-F3)/E3</f>
        <v>0.23812745230685969</v>
      </c>
      <c r="H3">
        <f>(E3-E4)/E4</f>
        <v>1.538672894628383E-2</v>
      </c>
    </row>
    <row r="4" spans="1:8" x14ac:dyDescent="0.2">
      <c r="B4" t="s">
        <v>4</v>
      </c>
      <c r="C4">
        <v>1000</v>
      </c>
      <c r="D4">
        <v>25</v>
      </c>
      <c r="E4" s="1">
        <f>SUM(848,956,1434,2570,1471)</f>
        <v>7279</v>
      </c>
      <c r="F4">
        <f>SUM(848,843,1221,2445,965)</f>
        <v>6322</v>
      </c>
      <c r="G4">
        <f>(E4-F4)/F4</f>
        <v>0.15137614678899083</v>
      </c>
      <c r="H4">
        <f>(E4-F3)/E4</f>
        <v>0.22640472592389063</v>
      </c>
    </row>
    <row r="6" spans="1:8" x14ac:dyDescent="0.2">
      <c r="A6" t="s">
        <v>20</v>
      </c>
      <c r="B6" t="s">
        <v>3</v>
      </c>
      <c r="C6">
        <v>1000</v>
      </c>
      <c r="D6">
        <v>0</v>
      </c>
      <c r="E6">
        <v>7094</v>
      </c>
      <c r="F6">
        <v>6342</v>
      </c>
      <c r="G6">
        <f>(E6-F6)/E6</f>
        <v>0.1060050747110234</v>
      </c>
    </row>
    <row r="7" spans="1:8" x14ac:dyDescent="0.2">
      <c r="B7" t="s">
        <v>3</v>
      </c>
      <c r="C7">
        <v>1000</v>
      </c>
      <c r="D7">
        <v>25</v>
      </c>
      <c r="E7">
        <v>7557</v>
      </c>
      <c r="F7">
        <v>5384</v>
      </c>
      <c r="G7">
        <f>(E7-F7)/E7</f>
        <v>0.28754796877067618</v>
      </c>
      <c r="H7">
        <f>(E7-E8)/E8</f>
        <v>9.6329609749020745E-2</v>
      </c>
    </row>
    <row r="8" spans="1:8" x14ac:dyDescent="0.2">
      <c r="B8" t="s">
        <v>4</v>
      </c>
      <c r="C8">
        <v>1000</v>
      </c>
      <c r="D8">
        <v>25</v>
      </c>
      <c r="E8" s="1">
        <f>SUM(2138,1348,917,1261,1229)</f>
        <v>6893</v>
      </c>
      <c r="F8">
        <f>SUM(2010,1027,902,1080,1229)</f>
        <v>6248</v>
      </c>
      <c r="G8">
        <f>(E8-F8)/E8</f>
        <v>9.3573190192949365E-2</v>
      </c>
    </row>
    <row r="10" spans="1:8" x14ac:dyDescent="0.2">
      <c r="A10" t="s">
        <v>26</v>
      </c>
      <c r="B10" t="s">
        <v>3</v>
      </c>
      <c r="C10">
        <v>1000</v>
      </c>
      <c r="D10">
        <v>0</v>
      </c>
      <c r="E10">
        <v>7379</v>
      </c>
      <c r="F10">
        <v>5834</v>
      </c>
      <c r="G10">
        <f>(E10-F10)/E10</f>
        <v>0.20937796449383386</v>
      </c>
    </row>
    <row r="11" spans="1:8" x14ac:dyDescent="0.2">
      <c r="B11" t="s">
        <v>3</v>
      </c>
      <c r="C11">
        <v>1000</v>
      </c>
      <c r="D11">
        <v>25</v>
      </c>
      <c r="E11">
        <v>7682</v>
      </c>
      <c r="F11">
        <v>5445</v>
      </c>
      <c r="G11">
        <f>(E11-F11)/E11</f>
        <v>0.29120020827909399</v>
      </c>
      <c r="H11">
        <f>(E11-E12)/E12</f>
        <v>2.0728142439542917E-2</v>
      </c>
    </row>
    <row r="12" spans="1:8" x14ac:dyDescent="0.2">
      <c r="B12" t="s">
        <v>4</v>
      </c>
      <c r="C12">
        <v>1000</v>
      </c>
      <c r="D12">
        <v>25</v>
      </c>
      <c r="E12" s="1">
        <f>SUM(2333,1472,1951,404,1366)</f>
        <v>7526</v>
      </c>
      <c r="F12">
        <f>SUM(1805,976,1869,404,941)</f>
        <v>5995</v>
      </c>
      <c r="G12">
        <f>(E12-F12)/E12</f>
        <v>0.20342811586500134</v>
      </c>
    </row>
    <row r="14" spans="1:8" x14ac:dyDescent="0.2">
      <c r="A14" t="s">
        <v>27</v>
      </c>
      <c r="B14" t="s">
        <v>3</v>
      </c>
      <c r="C14">
        <v>1000</v>
      </c>
      <c r="D14">
        <v>0</v>
      </c>
      <c r="E14">
        <v>7426</v>
      </c>
      <c r="F14">
        <v>6484</v>
      </c>
      <c r="G14">
        <f>(E14-F14)/E14</f>
        <v>0.12685160247778077</v>
      </c>
    </row>
    <row r="15" spans="1:8" x14ac:dyDescent="0.2">
      <c r="B15" t="s">
        <v>3</v>
      </c>
      <c r="C15">
        <v>1000</v>
      </c>
      <c r="D15">
        <v>25</v>
      </c>
      <c r="E15">
        <v>7800</v>
      </c>
      <c r="F15">
        <v>5856</v>
      </c>
      <c r="G15">
        <f>(E15-F15)/E15</f>
        <v>0.24923076923076923</v>
      </c>
      <c r="H15">
        <f>(E15-E16)/E16</f>
        <v>4.7261009667024706E-2</v>
      </c>
    </row>
    <row r="16" spans="1:8" x14ac:dyDescent="0.2">
      <c r="B16" t="s">
        <v>4</v>
      </c>
      <c r="C16">
        <v>1000</v>
      </c>
      <c r="D16">
        <v>25</v>
      </c>
      <c r="E16" s="1">
        <f>SUM(1048,1169,2031,1789,1411)</f>
        <v>7448</v>
      </c>
      <c r="F16">
        <f>SUM(1048,1028,2010,1620,966)</f>
        <v>6672</v>
      </c>
      <c r="G16">
        <f>(E16-F16)/E16</f>
        <v>0.1041890440386681</v>
      </c>
    </row>
    <row r="20" spans="1:12" x14ac:dyDescent="0.2">
      <c r="C20" t="s">
        <v>56</v>
      </c>
      <c r="D20" t="s">
        <v>57</v>
      </c>
      <c r="E20" t="s">
        <v>46</v>
      </c>
      <c r="G20" t="s">
        <v>58</v>
      </c>
      <c r="H20" t="s">
        <v>59</v>
      </c>
      <c r="I20" t="s">
        <v>54</v>
      </c>
      <c r="J20" t="s">
        <v>7</v>
      </c>
      <c r="K20" t="s">
        <v>8</v>
      </c>
      <c r="L20" t="s">
        <v>9</v>
      </c>
    </row>
    <row r="21" spans="1:12" x14ac:dyDescent="0.2">
      <c r="A21" t="s">
        <v>27</v>
      </c>
      <c r="B21" t="s">
        <v>3</v>
      </c>
      <c r="C21">
        <v>1000</v>
      </c>
      <c r="D21">
        <v>0</v>
      </c>
      <c r="E21">
        <v>7426</v>
      </c>
      <c r="G21">
        <v>0</v>
      </c>
      <c r="J21">
        <v>7426</v>
      </c>
      <c r="K21">
        <v>6484</v>
      </c>
      <c r="L21">
        <f>(J21-K21)/J21</f>
        <v>0.12685160247778077</v>
      </c>
    </row>
    <row r="22" spans="1:12" x14ac:dyDescent="0.2">
      <c r="B22" t="s">
        <v>3</v>
      </c>
      <c r="C22">
        <v>1000</v>
      </c>
      <c r="D22">
        <v>25</v>
      </c>
      <c r="E22">
        <v>7800</v>
      </c>
      <c r="G22">
        <v>0</v>
      </c>
      <c r="J22">
        <v>7800</v>
      </c>
      <c r="K22">
        <v>5856</v>
      </c>
      <c r="L22">
        <f>(J22-K22)/J22</f>
        <v>0.24923076923076923</v>
      </c>
    </row>
    <row r="23" spans="1:12" x14ac:dyDescent="0.2">
      <c r="B23" t="s">
        <v>4</v>
      </c>
      <c r="C23">
        <v>1000</v>
      </c>
      <c r="D23">
        <v>25</v>
      </c>
      <c r="E23" s="1">
        <f>SUM(1048,1169,2031,1789,1411)</f>
        <v>7448</v>
      </c>
      <c r="G23">
        <v>0</v>
      </c>
      <c r="J23" s="1">
        <f>SUM(1048,1169,2031,1789,1411)</f>
        <v>7448</v>
      </c>
      <c r="K23">
        <f>SUM(1048,1028,2010,1620,966)</f>
        <v>6672</v>
      </c>
      <c r="L23">
        <f>(J23-K23)/J23</f>
        <v>0.1041890440386681</v>
      </c>
    </row>
    <row r="24" spans="1:12" x14ac:dyDescent="0.2">
      <c r="A24" t="s">
        <v>47</v>
      </c>
      <c r="B24" t="s">
        <v>3</v>
      </c>
      <c r="C24">
        <v>1000</v>
      </c>
      <c r="D24" t="s">
        <v>32</v>
      </c>
      <c r="G24">
        <f t="shared" ref="G24:G29" si="0">J24-E24</f>
        <v>0</v>
      </c>
      <c r="I24" s="3">
        <f>1.5*60*100</f>
        <v>9000</v>
      </c>
      <c r="L24" t="e">
        <f t="shared" ref="L24:L29" si="1">(J24-K24)/J24</f>
        <v>#DIV/0!</v>
      </c>
    </row>
    <row r="25" spans="1:12" x14ac:dyDescent="0.2">
      <c r="B25" t="s">
        <v>3</v>
      </c>
      <c r="C25">
        <v>1000</v>
      </c>
      <c r="D25" t="s">
        <v>34</v>
      </c>
      <c r="G25">
        <f t="shared" si="0"/>
        <v>0</v>
      </c>
      <c r="I25" s="3">
        <f>2*60*50</f>
        <v>6000</v>
      </c>
      <c r="L25" t="e">
        <f t="shared" si="1"/>
        <v>#DIV/0!</v>
      </c>
    </row>
    <row r="26" spans="1:12" x14ac:dyDescent="0.2">
      <c r="B26" t="s">
        <v>3</v>
      </c>
      <c r="C26">
        <v>1000</v>
      </c>
      <c r="D26" t="s">
        <v>35</v>
      </c>
      <c r="G26">
        <f t="shared" si="0"/>
        <v>0</v>
      </c>
      <c r="I26" s="3"/>
      <c r="L26" t="e">
        <f t="shared" si="1"/>
        <v>#DIV/0!</v>
      </c>
    </row>
    <row r="27" spans="1:12" x14ac:dyDescent="0.2">
      <c r="B27" t="s">
        <v>3</v>
      </c>
      <c r="C27">
        <v>1000</v>
      </c>
      <c r="D27" t="s">
        <v>36</v>
      </c>
      <c r="G27">
        <f t="shared" si="0"/>
        <v>0</v>
      </c>
      <c r="I27" s="3">
        <f>2.5*60*10</f>
        <v>1500</v>
      </c>
      <c r="L27" t="e">
        <f t="shared" si="1"/>
        <v>#DIV/0!</v>
      </c>
    </row>
    <row r="28" spans="1:12" x14ac:dyDescent="0.2">
      <c r="B28" t="s">
        <v>3</v>
      </c>
      <c r="C28">
        <v>1000</v>
      </c>
      <c r="D28" t="s">
        <v>45</v>
      </c>
      <c r="G28">
        <f t="shared" si="0"/>
        <v>0</v>
      </c>
      <c r="I28" s="3"/>
      <c r="L28" t="e">
        <f>(J28-K28)/J28</f>
        <v>#DIV/0!</v>
      </c>
    </row>
    <row r="29" spans="1:12" x14ac:dyDescent="0.2">
      <c r="B29" t="s">
        <v>3</v>
      </c>
      <c r="C29">
        <v>1000</v>
      </c>
      <c r="D29" t="s">
        <v>39</v>
      </c>
      <c r="G29">
        <f t="shared" si="0"/>
        <v>0</v>
      </c>
      <c r="I29" s="3">
        <f>6.5*60*1</f>
        <v>390</v>
      </c>
      <c r="L29" t="e">
        <f t="shared" si="1"/>
        <v>#DIV/0!</v>
      </c>
    </row>
    <row r="30" spans="1:12" x14ac:dyDescent="0.2">
      <c r="I30" s="3"/>
    </row>
    <row r="31" spans="1:12" x14ac:dyDescent="0.2">
      <c r="A31" t="s">
        <v>48</v>
      </c>
      <c r="B31" t="s">
        <v>3</v>
      </c>
      <c r="C31">
        <v>1000</v>
      </c>
      <c r="D31" t="s">
        <v>32</v>
      </c>
      <c r="G31">
        <f t="shared" ref="G31:G36" si="2">J31-E31</f>
        <v>0</v>
      </c>
      <c r="I31" s="3">
        <f>18*100*60</f>
        <v>108000</v>
      </c>
      <c r="L31" t="e">
        <f t="shared" ref="L31:L36" si="3">(J31-K31)/J31</f>
        <v>#DIV/0!</v>
      </c>
    </row>
    <row r="32" spans="1:12" x14ac:dyDescent="0.2">
      <c r="B32" t="s">
        <v>3</v>
      </c>
      <c r="C32">
        <v>1000</v>
      </c>
      <c r="D32" t="s">
        <v>34</v>
      </c>
      <c r="G32">
        <f t="shared" si="2"/>
        <v>0</v>
      </c>
      <c r="H32" s="2"/>
      <c r="I32" s="3">
        <f>18.5*50*60</f>
        <v>55500</v>
      </c>
      <c r="L32" t="e">
        <f t="shared" si="3"/>
        <v>#DIV/0!</v>
      </c>
    </row>
    <row r="33" spans="2:12" x14ac:dyDescent="0.2">
      <c r="B33" t="s">
        <v>3</v>
      </c>
      <c r="C33">
        <v>1000</v>
      </c>
      <c r="D33" t="s">
        <v>35</v>
      </c>
      <c r="G33">
        <f t="shared" si="2"/>
        <v>0</v>
      </c>
      <c r="I33" s="3"/>
      <c r="L33" t="e">
        <f t="shared" si="3"/>
        <v>#DIV/0!</v>
      </c>
    </row>
    <row r="34" spans="2:12" x14ac:dyDescent="0.2">
      <c r="B34" t="s">
        <v>3</v>
      </c>
      <c r="C34">
        <v>1000</v>
      </c>
      <c r="D34" t="s">
        <v>36</v>
      </c>
      <c r="G34">
        <f t="shared" si="2"/>
        <v>0</v>
      </c>
      <c r="I34" s="3"/>
      <c r="L34" t="e">
        <f t="shared" si="3"/>
        <v>#DIV/0!</v>
      </c>
    </row>
    <row r="35" spans="2:12" x14ac:dyDescent="0.2">
      <c r="B35" t="s">
        <v>3</v>
      </c>
      <c r="C35">
        <v>1000</v>
      </c>
      <c r="D35" t="s">
        <v>45</v>
      </c>
      <c r="G35">
        <f t="shared" si="2"/>
        <v>0</v>
      </c>
      <c r="I35" s="3"/>
      <c r="L35" t="e">
        <f t="shared" si="3"/>
        <v>#DIV/0!</v>
      </c>
    </row>
    <row r="36" spans="2:12" x14ac:dyDescent="0.2">
      <c r="B36" t="s">
        <v>3</v>
      </c>
      <c r="C36">
        <v>1000</v>
      </c>
      <c r="D36" t="s">
        <v>39</v>
      </c>
      <c r="G36">
        <f t="shared" si="2"/>
        <v>0</v>
      </c>
      <c r="I36" s="3"/>
      <c r="L36" t="e">
        <f t="shared" si="3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A6D2-5E46-284E-BC44-297816D5D7F8}">
  <dimension ref="A1:L43"/>
  <sheetViews>
    <sheetView zoomScale="178" workbookViewId="0">
      <selection activeCell="A23" sqref="A23"/>
    </sheetView>
  </sheetViews>
  <sheetFormatPr baseColWidth="10" defaultRowHeight="16" x14ac:dyDescent="0.2"/>
  <cols>
    <col min="3" max="6" width="11" bestFit="1" customWidth="1"/>
    <col min="7" max="7" width="11.1640625" bestFit="1" customWidth="1"/>
    <col min="9" max="9" width="11" bestFit="1" customWidth="1"/>
    <col min="10" max="10" width="11.33203125" bestFit="1" customWidth="1"/>
    <col min="11" max="11" width="12.33203125" bestFit="1" customWidth="1"/>
    <col min="12" max="12" width="11" bestFit="1" customWidth="1"/>
  </cols>
  <sheetData>
    <row r="1" spans="1:8" x14ac:dyDescent="0.2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8" x14ac:dyDescent="0.2">
      <c r="A2" t="s">
        <v>28</v>
      </c>
      <c r="B2" t="s">
        <v>3</v>
      </c>
      <c r="C2">
        <v>1000</v>
      </c>
      <c r="D2">
        <v>0</v>
      </c>
      <c r="E2">
        <v>7112</v>
      </c>
      <c r="F2">
        <v>6231</v>
      </c>
      <c r="G2">
        <f t="shared" ref="G2" si="0">(E2-F2)/E2</f>
        <v>0.12387514060742408</v>
      </c>
    </row>
    <row r="3" spans="1:8" x14ac:dyDescent="0.2">
      <c r="B3" t="s">
        <v>3</v>
      </c>
      <c r="C3">
        <v>1000</v>
      </c>
      <c r="D3">
        <v>25</v>
      </c>
      <c r="E3">
        <v>7431</v>
      </c>
      <c r="F3">
        <v>5680</v>
      </c>
      <c r="G3">
        <f>(E3-F3)/E3</f>
        <v>0.23563450410442741</v>
      </c>
      <c r="H3">
        <f>(E3-E4)/E4</f>
        <v>4.0027991602519242E-2</v>
      </c>
    </row>
    <row r="4" spans="1:8" x14ac:dyDescent="0.2">
      <c r="B4" t="s">
        <v>4</v>
      </c>
      <c r="C4">
        <v>1000</v>
      </c>
      <c r="D4">
        <v>25</v>
      </c>
      <c r="E4" s="1">
        <f>SUM(808,1041,1353,2493,1450)</f>
        <v>7145</v>
      </c>
      <c r="F4">
        <f>SUM(808,1041,1258,2229,1030)</f>
        <v>6366</v>
      </c>
      <c r="G4">
        <f t="shared" ref="G4" si="1">(E4-F4)/E4</f>
        <v>0.10902729181245627</v>
      </c>
    </row>
    <row r="6" spans="1:8" x14ac:dyDescent="0.2">
      <c r="A6" t="s">
        <v>12</v>
      </c>
      <c r="B6" t="s">
        <v>3</v>
      </c>
      <c r="C6">
        <v>1000</v>
      </c>
      <c r="D6">
        <v>0</v>
      </c>
      <c r="E6">
        <v>6999</v>
      </c>
      <c r="F6">
        <v>5941</v>
      </c>
      <c r="G6">
        <f t="shared" ref="G6" si="2">(E6-F6)/E6</f>
        <v>0.15116445206458065</v>
      </c>
    </row>
    <row r="7" spans="1:8" x14ac:dyDescent="0.2">
      <c r="B7" t="s">
        <v>3</v>
      </c>
      <c r="C7">
        <v>1000</v>
      </c>
      <c r="D7">
        <v>25</v>
      </c>
      <c r="E7">
        <v>7686</v>
      </c>
      <c r="F7">
        <v>5375</v>
      </c>
      <c r="G7">
        <f>(E7-F7)/E7</f>
        <v>0.30067655477491545</v>
      </c>
      <c r="H7">
        <f>(E7-E8)/E8</f>
        <v>0.14001779887273805</v>
      </c>
    </row>
    <row r="8" spans="1:8" x14ac:dyDescent="0.2">
      <c r="B8" t="s">
        <v>4</v>
      </c>
      <c r="C8">
        <v>1000</v>
      </c>
      <c r="D8">
        <v>25</v>
      </c>
      <c r="E8" s="1">
        <f>SUM(1999,1276,978,1463,1026)</f>
        <v>6742</v>
      </c>
      <c r="F8">
        <f>SUM(1976,1013,978,1286,1026)</f>
        <v>6279</v>
      </c>
      <c r="G8">
        <f t="shared" ref="G8" si="3">(E8-F8)/E8</f>
        <v>6.8673983981014541E-2</v>
      </c>
    </row>
    <row r="10" spans="1:8" x14ac:dyDescent="0.2">
      <c r="A10" t="s">
        <v>29</v>
      </c>
      <c r="B10" t="s">
        <v>3</v>
      </c>
      <c r="C10">
        <v>1000</v>
      </c>
      <c r="D10">
        <v>0</v>
      </c>
      <c r="E10">
        <v>7280</v>
      </c>
      <c r="F10">
        <v>5893</v>
      </c>
      <c r="G10">
        <f t="shared" ref="G10" si="4">(E10-F10)/E10</f>
        <v>0.19052197802197801</v>
      </c>
    </row>
    <row r="11" spans="1:8" x14ac:dyDescent="0.2">
      <c r="B11" t="s">
        <v>3</v>
      </c>
      <c r="C11">
        <v>1000</v>
      </c>
      <c r="D11">
        <v>25</v>
      </c>
      <c r="E11">
        <v>7615</v>
      </c>
      <c r="F11">
        <v>5385</v>
      </c>
      <c r="G11">
        <f>(E11-F11)/E11</f>
        <v>0.2928430728824688</v>
      </c>
      <c r="H11">
        <f>(E11-E12)/E12</f>
        <v>4.3722587719298246E-2</v>
      </c>
    </row>
    <row r="12" spans="1:8" x14ac:dyDescent="0.2">
      <c r="B12" t="s">
        <v>4</v>
      </c>
      <c r="C12">
        <v>1000</v>
      </c>
      <c r="D12">
        <v>25</v>
      </c>
      <c r="E12" s="1">
        <f>SUM(2172,440,1409,1730,1545)</f>
        <v>7296</v>
      </c>
      <c r="F12">
        <f>SUM(1772,440,983,1560,1146)</f>
        <v>5901</v>
      </c>
      <c r="G12">
        <f t="shared" ref="G12" si="5">(E12-F12)/E12</f>
        <v>0.19120065789473684</v>
      </c>
    </row>
    <row r="14" spans="1:8" x14ac:dyDescent="0.2">
      <c r="A14" t="s">
        <v>30</v>
      </c>
      <c r="B14" t="s">
        <v>3</v>
      </c>
      <c r="C14">
        <v>1000</v>
      </c>
      <c r="D14">
        <v>0</v>
      </c>
      <c r="E14">
        <v>7193</v>
      </c>
      <c r="F14">
        <v>6295</v>
      </c>
      <c r="G14">
        <f t="shared" ref="G14" si="6">(E14-F14)/E14</f>
        <v>0.12484359794244404</v>
      </c>
    </row>
    <row r="15" spans="1:8" x14ac:dyDescent="0.2">
      <c r="B15" t="s">
        <v>3</v>
      </c>
      <c r="C15">
        <v>1000</v>
      </c>
      <c r="D15">
        <v>25</v>
      </c>
      <c r="E15">
        <v>7548</v>
      </c>
      <c r="F15">
        <v>5759</v>
      </c>
      <c r="G15">
        <f>(E15-F15)/E15</f>
        <v>0.23701642819289878</v>
      </c>
      <c r="H15">
        <f>(E15-E16)/E16</f>
        <v>4.7315110309421399E-2</v>
      </c>
    </row>
    <row r="16" spans="1:8" x14ac:dyDescent="0.2">
      <c r="B16" t="s">
        <v>4</v>
      </c>
      <c r="C16">
        <v>1000</v>
      </c>
      <c r="D16">
        <v>25</v>
      </c>
      <c r="E16" s="1">
        <f>SUM(1383,1608,1867,1325,1024)</f>
        <v>7207</v>
      </c>
      <c r="F16">
        <f>SUM(966,1496,1867,1167,1024)</f>
        <v>6520</v>
      </c>
      <c r="G16">
        <f t="shared" ref="G16" si="7">(E16-F16)/E16</f>
        <v>9.5323990564728733E-2</v>
      </c>
    </row>
    <row r="19" spans="1:12" x14ac:dyDescent="0.2">
      <c r="C19" t="s">
        <v>56</v>
      </c>
      <c r="D19" t="s">
        <v>57</v>
      </c>
      <c r="E19" t="s">
        <v>46</v>
      </c>
      <c r="G19" t="s">
        <v>58</v>
      </c>
      <c r="H19" t="s">
        <v>59</v>
      </c>
      <c r="I19" t="s">
        <v>54</v>
      </c>
      <c r="J19" t="s">
        <v>7</v>
      </c>
      <c r="K19" t="s">
        <v>8</v>
      </c>
      <c r="L19" t="s">
        <v>9</v>
      </c>
    </row>
    <row r="20" spans="1:12" x14ac:dyDescent="0.2">
      <c r="A20" t="s">
        <v>30</v>
      </c>
      <c r="B20" t="s">
        <v>3</v>
      </c>
      <c r="C20">
        <v>1000</v>
      </c>
      <c r="D20">
        <v>0</v>
      </c>
      <c r="E20">
        <v>7193</v>
      </c>
      <c r="G20">
        <v>0</v>
      </c>
      <c r="H20" t="s">
        <v>72</v>
      </c>
      <c r="J20">
        <v>7193</v>
      </c>
      <c r="K20">
        <v>6295</v>
      </c>
      <c r="L20">
        <f t="shared" ref="L20" si="8">(J20-K20)/J20</f>
        <v>0.12484359794244404</v>
      </c>
    </row>
    <row r="21" spans="1:12" x14ac:dyDescent="0.2">
      <c r="B21" t="s">
        <v>3</v>
      </c>
      <c r="C21">
        <v>1000</v>
      </c>
      <c r="D21">
        <v>25</v>
      </c>
      <c r="E21">
        <v>7548</v>
      </c>
      <c r="G21">
        <v>0</v>
      </c>
      <c r="J21">
        <v>7548</v>
      </c>
      <c r="K21">
        <v>5759</v>
      </c>
      <c r="L21">
        <f>(J21-K21)/J21</f>
        <v>0.23701642819289878</v>
      </c>
    </row>
    <row r="22" spans="1:12" x14ac:dyDescent="0.2">
      <c r="B22" t="s">
        <v>4</v>
      </c>
      <c r="C22">
        <v>1000</v>
      </c>
      <c r="D22">
        <v>25</v>
      </c>
      <c r="E22" s="1">
        <f>SUM(1383,1608,1867,1325,1024)</f>
        <v>7207</v>
      </c>
      <c r="G22">
        <v>0</v>
      </c>
      <c r="H22" t="s">
        <v>42</v>
      </c>
      <c r="J22" s="1">
        <f>SUM(1383,1608,1867,1325,1024)</f>
        <v>7207</v>
      </c>
      <c r="K22">
        <f>SUM(966,1496,1867,1167,1024)</f>
        <v>6520</v>
      </c>
      <c r="L22">
        <f t="shared" ref="L22:L26" si="9">(J22-K22)/J22</f>
        <v>9.5323990564728733E-2</v>
      </c>
    </row>
    <row r="24" spans="1:12" x14ac:dyDescent="0.2">
      <c r="A24" t="s">
        <v>47</v>
      </c>
      <c r="D24" t="s">
        <v>75</v>
      </c>
      <c r="E24">
        <v>9585</v>
      </c>
      <c r="G24">
        <f t="shared" ref="G24:G32" si="10">J24-E24</f>
        <v>6958533620</v>
      </c>
      <c r="H24" t="s">
        <v>76</v>
      </c>
      <c r="I24" s="3">
        <f>60*1000</f>
        <v>60000</v>
      </c>
      <c r="J24">
        <v>6958543205</v>
      </c>
      <c r="K24">
        <v>6061</v>
      </c>
      <c r="L24">
        <f t="shared" si="9"/>
        <v>0.99999912898435472</v>
      </c>
    </row>
    <row r="25" spans="1:12" x14ac:dyDescent="0.2">
      <c r="D25" t="s">
        <v>77</v>
      </c>
      <c r="E25">
        <v>9320</v>
      </c>
      <c r="G25">
        <f t="shared" si="10"/>
        <v>45000</v>
      </c>
      <c r="H25" t="s">
        <v>78</v>
      </c>
      <c r="I25" s="3">
        <f>1.5*500*60</f>
        <v>45000</v>
      </c>
      <c r="J25">
        <v>54320</v>
      </c>
      <c r="K25">
        <v>6071</v>
      </c>
      <c r="L25">
        <f t="shared" si="9"/>
        <v>0.88823637702503677</v>
      </c>
    </row>
    <row r="26" spans="1:12" x14ac:dyDescent="0.2">
      <c r="D26" t="s">
        <v>79</v>
      </c>
      <c r="E26">
        <v>10445</v>
      </c>
      <c r="G26">
        <f t="shared" si="10"/>
        <v>12000</v>
      </c>
      <c r="H26" t="s">
        <v>80</v>
      </c>
      <c r="I26" s="3"/>
      <c r="J26">
        <v>22445</v>
      </c>
      <c r="K26">
        <v>6069</v>
      </c>
      <c r="L26">
        <f t="shared" si="9"/>
        <v>0.72960570282913795</v>
      </c>
    </row>
    <row r="27" spans="1:12" x14ac:dyDescent="0.2">
      <c r="B27" t="s">
        <v>3</v>
      </c>
      <c r="C27">
        <v>1000</v>
      </c>
      <c r="D27" t="s">
        <v>32</v>
      </c>
      <c r="E27">
        <v>9165</v>
      </c>
      <c r="G27">
        <f t="shared" si="10"/>
        <v>12000</v>
      </c>
      <c r="H27" t="s">
        <v>38</v>
      </c>
      <c r="I27" s="3">
        <f>2*60*100</f>
        <v>12000</v>
      </c>
      <c r="J27">
        <v>21165</v>
      </c>
      <c r="K27">
        <v>6092</v>
      </c>
      <c r="L27">
        <f t="shared" ref="L27:L37" si="11">(J27-K27)/J27</f>
        <v>0.71216631230805572</v>
      </c>
    </row>
    <row r="28" spans="1:12" x14ac:dyDescent="0.2">
      <c r="B28" t="s">
        <v>3</v>
      </c>
      <c r="C28">
        <v>1000</v>
      </c>
      <c r="D28" t="s">
        <v>34</v>
      </c>
      <c r="E28">
        <v>9041</v>
      </c>
      <c r="G28">
        <f t="shared" si="10"/>
        <v>6000</v>
      </c>
      <c r="H28" t="s">
        <v>73</v>
      </c>
      <c r="I28" s="3">
        <f>2*60*50</f>
        <v>6000</v>
      </c>
      <c r="J28">
        <v>15041</v>
      </c>
      <c r="K28">
        <v>6046</v>
      </c>
      <c r="L28">
        <f t="shared" si="11"/>
        <v>0.59803204574163948</v>
      </c>
    </row>
    <row r="29" spans="1:12" x14ac:dyDescent="0.2">
      <c r="B29" t="s">
        <v>3</v>
      </c>
      <c r="C29">
        <v>1000</v>
      </c>
      <c r="D29" t="s">
        <v>35</v>
      </c>
      <c r="G29">
        <f t="shared" si="10"/>
        <v>0</v>
      </c>
      <c r="I29" s="3"/>
      <c r="L29" t="e">
        <f t="shared" si="11"/>
        <v>#DIV/0!</v>
      </c>
    </row>
    <row r="30" spans="1:12" x14ac:dyDescent="0.2">
      <c r="B30" t="s">
        <v>3</v>
      </c>
      <c r="C30">
        <v>1000</v>
      </c>
      <c r="D30" t="s">
        <v>36</v>
      </c>
      <c r="E30">
        <v>9181</v>
      </c>
      <c r="G30">
        <f t="shared" si="10"/>
        <v>1200</v>
      </c>
      <c r="H30" t="s">
        <v>38</v>
      </c>
      <c r="I30" s="3">
        <f>2*60*10</f>
        <v>1200</v>
      </c>
      <c r="J30">
        <v>10381</v>
      </c>
      <c r="K30">
        <v>6063</v>
      </c>
      <c r="L30">
        <f t="shared" si="11"/>
        <v>0.41595222040265872</v>
      </c>
    </row>
    <row r="31" spans="1:12" x14ac:dyDescent="0.2">
      <c r="B31" t="s">
        <v>3</v>
      </c>
      <c r="C31">
        <v>1000</v>
      </c>
      <c r="D31" t="s">
        <v>45</v>
      </c>
      <c r="G31">
        <f t="shared" si="10"/>
        <v>0</v>
      </c>
      <c r="I31" s="3"/>
      <c r="L31" t="e">
        <f>(J31-K31)/J31</f>
        <v>#DIV/0!</v>
      </c>
    </row>
    <row r="32" spans="1:12" x14ac:dyDescent="0.2">
      <c r="B32" t="s">
        <v>3</v>
      </c>
      <c r="C32">
        <v>1000</v>
      </c>
      <c r="D32" t="s">
        <v>39</v>
      </c>
      <c r="E32">
        <v>8073</v>
      </c>
      <c r="G32">
        <f t="shared" si="10"/>
        <v>810</v>
      </c>
      <c r="H32" t="s">
        <v>74</v>
      </c>
      <c r="I32" s="3">
        <f>13.5*60*1</f>
        <v>810</v>
      </c>
      <c r="J32">
        <v>8883</v>
      </c>
      <c r="K32">
        <v>6067</v>
      </c>
      <c r="L32">
        <f t="shared" si="11"/>
        <v>0.31701001913767873</v>
      </c>
    </row>
    <row r="33" spans="1:12" x14ac:dyDescent="0.2">
      <c r="I33" s="3"/>
    </row>
    <row r="34" spans="1:12" x14ac:dyDescent="0.2">
      <c r="A34" t="s">
        <v>48</v>
      </c>
      <c r="D34" t="s">
        <v>83</v>
      </c>
      <c r="E34">
        <v>9852</v>
      </c>
      <c r="G34">
        <f t="shared" ref="G34:G43" si="12">J34-E34</f>
        <v>11100000</v>
      </c>
      <c r="H34" t="s">
        <v>82</v>
      </c>
      <c r="I34" s="3">
        <f>18.5*10000*60</f>
        <v>11100000</v>
      </c>
      <c r="J34" s="4">
        <v>11109852</v>
      </c>
      <c r="K34">
        <v>10236017</v>
      </c>
      <c r="L34">
        <f t="shared" si="11"/>
        <v>7.8654063078428052E-2</v>
      </c>
    </row>
    <row r="35" spans="1:12" x14ac:dyDescent="0.2">
      <c r="D35" t="s">
        <v>75</v>
      </c>
      <c r="E35">
        <v>9282</v>
      </c>
      <c r="G35">
        <f t="shared" si="12"/>
        <v>1110000</v>
      </c>
      <c r="H35" t="s">
        <v>65</v>
      </c>
      <c r="I35" s="3">
        <f>60*1000*18.5</f>
        <v>1110000</v>
      </c>
      <c r="J35" s="4">
        <v>1119282</v>
      </c>
      <c r="K35">
        <v>1029078</v>
      </c>
      <c r="L35">
        <f t="shared" si="11"/>
        <v>8.0590950269905176E-2</v>
      </c>
    </row>
    <row r="36" spans="1:12" x14ac:dyDescent="0.2">
      <c r="D36" t="s">
        <v>77</v>
      </c>
      <c r="E36">
        <v>9747</v>
      </c>
      <c r="G36">
        <f t="shared" si="12"/>
        <v>555000</v>
      </c>
      <c r="H36" t="s">
        <v>81</v>
      </c>
      <c r="I36" s="3">
        <f>18.5*500*60</f>
        <v>555000</v>
      </c>
      <c r="J36">
        <v>564747</v>
      </c>
      <c r="K36">
        <v>517589</v>
      </c>
      <c r="L36">
        <f t="shared" si="11"/>
        <v>8.3502878280008574E-2</v>
      </c>
    </row>
    <row r="37" spans="1:12" x14ac:dyDescent="0.2">
      <c r="D37" t="s">
        <v>79</v>
      </c>
      <c r="E37">
        <v>9095</v>
      </c>
      <c r="G37">
        <f t="shared" si="12"/>
        <v>222000</v>
      </c>
      <c r="H37" t="s">
        <v>65</v>
      </c>
      <c r="I37" s="3">
        <f>18.5*60*200</f>
        <v>222000</v>
      </c>
      <c r="J37">
        <v>231095</v>
      </c>
      <c r="K37">
        <v>210700</v>
      </c>
      <c r="L37">
        <f t="shared" si="11"/>
        <v>8.8253748458426193E-2</v>
      </c>
    </row>
    <row r="38" spans="1:12" x14ac:dyDescent="0.2">
      <c r="B38" t="s">
        <v>3</v>
      </c>
      <c r="C38">
        <v>1000</v>
      </c>
      <c r="D38" t="s">
        <v>32</v>
      </c>
      <c r="E38">
        <v>8737</v>
      </c>
      <c r="G38">
        <f t="shared" si="12"/>
        <v>114000</v>
      </c>
      <c r="H38" s="2" t="s">
        <v>68</v>
      </c>
      <c r="I38" s="3">
        <f>19*100*60</f>
        <v>114000</v>
      </c>
      <c r="J38">
        <v>122737</v>
      </c>
      <c r="K38">
        <v>108411</v>
      </c>
      <c r="L38">
        <f t="shared" ref="L38:L43" si="13">(J38-K38)/J38</f>
        <v>0.11672111914092735</v>
      </c>
    </row>
    <row r="39" spans="1:12" x14ac:dyDescent="0.2">
      <c r="B39" t="s">
        <v>3</v>
      </c>
      <c r="C39">
        <v>1000</v>
      </c>
      <c r="D39" t="s">
        <v>34</v>
      </c>
      <c r="E39">
        <v>8526</v>
      </c>
      <c r="G39">
        <f t="shared" si="12"/>
        <v>57000</v>
      </c>
      <c r="H39" s="2" t="s">
        <v>69</v>
      </c>
      <c r="I39" s="3">
        <f>19*60*50</f>
        <v>57000</v>
      </c>
      <c r="J39">
        <v>65526</v>
      </c>
      <c r="K39">
        <v>57256</v>
      </c>
      <c r="L39">
        <f t="shared" si="13"/>
        <v>0.12620944357964778</v>
      </c>
    </row>
    <row r="40" spans="1:12" x14ac:dyDescent="0.2">
      <c r="B40" t="s">
        <v>3</v>
      </c>
      <c r="C40">
        <v>1000</v>
      </c>
      <c r="D40" t="s">
        <v>35</v>
      </c>
      <c r="G40">
        <f t="shared" si="12"/>
        <v>0</v>
      </c>
      <c r="I40" s="3"/>
      <c r="L40" t="e">
        <f t="shared" si="13"/>
        <v>#DIV/0!</v>
      </c>
    </row>
    <row r="41" spans="1:12" x14ac:dyDescent="0.2">
      <c r="B41" t="s">
        <v>3</v>
      </c>
      <c r="C41">
        <v>1000</v>
      </c>
      <c r="D41" t="s">
        <v>36</v>
      </c>
      <c r="E41">
        <v>8253</v>
      </c>
      <c r="G41">
        <f t="shared" si="12"/>
        <v>12000</v>
      </c>
      <c r="H41" s="2" t="s">
        <v>70</v>
      </c>
      <c r="I41" s="3">
        <f>20*10*60</f>
        <v>12000</v>
      </c>
      <c r="J41">
        <v>20253</v>
      </c>
      <c r="K41">
        <v>16322</v>
      </c>
      <c r="L41">
        <f t="shared" si="13"/>
        <v>0.19409470201945392</v>
      </c>
    </row>
    <row r="42" spans="1:12" x14ac:dyDescent="0.2">
      <c r="B42" t="s">
        <v>3</v>
      </c>
      <c r="C42">
        <v>1000</v>
      </c>
      <c r="D42" t="s">
        <v>45</v>
      </c>
      <c r="G42">
        <f t="shared" si="12"/>
        <v>0</v>
      </c>
      <c r="I42" s="3"/>
      <c r="L42" t="e">
        <f t="shared" si="13"/>
        <v>#DIV/0!</v>
      </c>
    </row>
    <row r="43" spans="1:12" x14ac:dyDescent="0.2">
      <c r="B43" t="s">
        <v>3</v>
      </c>
      <c r="C43">
        <v>1000</v>
      </c>
      <c r="D43" t="s">
        <v>39</v>
      </c>
      <c r="E43">
        <v>7480</v>
      </c>
      <c r="G43">
        <f t="shared" si="12"/>
        <v>1470</v>
      </c>
      <c r="H43" s="2" t="s">
        <v>71</v>
      </c>
      <c r="I43" s="3">
        <f>24.5*60</f>
        <v>1470</v>
      </c>
      <c r="J43">
        <v>8950</v>
      </c>
      <c r="K43">
        <v>7088</v>
      </c>
      <c r="L43">
        <f t="shared" si="13"/>
        <v>0.20804469273743018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4DC4-FAEB-C747-A587-15A1721D2858}">
  <dimension ref="A1:L41"/>
  <sheetViews>
    <sheetView zoomScale="69" zoomScaleNormal="150" workbookViewId="0">
      <selection activeCell="F32" sqref="F32"/>
    </sheetView>
  </sheetViews>
  <sheetFormatPr baseColWidth="10" defaultRowHeight="16" x14ac:dyDescent="0.2"/>
  <cols>
    <col min="9" max="9" width="12.33203125" bestFit="1" customWidth="1"/>
  </cols>
  <sheetData>
    <row r="1" spans="1:8" x14ac:dyDescent="0.2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40</v>
      </c>
    </row>
    <row r="2" spans="1:8" x14ac:dyDescent="0.2">
      <c r="A2" t="s">
        <v>21</v>
      </c>
      <c r="B2" t="s">
        <v>3</v>
      </c>
      <c r="C2">
        <v>1000</v>
      </c>
      <c r="D2">
        <v>0</v>
      </c>
      <c r="E2">
        <v>6148</v>
      </c>
      <c r="F2">
        <v>5405</v>
      </c>
      <c r="G2">
        <f t="shared" ref="G2" si="0">(E2-F2)/E2</f>
        <v>0.1208523096942095</v>
      </c>
    </row>
    <row r="3" spans="1:8" x14ac:dyDescent="0.2">
      <c r="B3" t="s">
        <v>3</v>
      </c>
      <c r="C3">
        <v>1000</v>
      </c>
      <c r="D3">
        <v>25</v>
      </c>
      <c r="E3">
        <v>6258</v>
      </c>
      <c r="F3">
        <v>5122</v>
      </c>
      <c r="G3">
        <f>(E3-F3)/E3</f>
        <v>0.18152764461489293</v>
      </c>
      <c r="H3">
        <f>(E3-E4)/E4</f>
        <v>4.3347782594198067E-2</v>
      </c>
    </row>
    <row r="4" spans="1:8" x14ac:dyDescent="0.2">
      <c r="B4" t="s">
        <v>4</v>
      </c>
      <c r="C4">
        <v>1000</v>
      </c>
      <c r="D4">
        <v>25</v>
      </c>
      <c r="E4" s="1">
        <f>SUM(569,880,1402,2057,1090)</f>
        <v>5998</v>
      </c>
      <c r="F4">
        <f>SUM(569,842,1237,1894,843)</f>
        <v>5385</v>
      </c>
      <c r="G4">
        <f t="shared" ref="G4" si="1">(E4-F4)/E4</f>
        <v>0.10220073357785929</v>
      </c>
    </row>
    <row r="6" spans="1:8" x14ac:dyDescent="0.2">
      <c r="A6" t="s">
        <v>22</v>
      </c>
      <c r="B6" t="s">
        <v>3</v>
      </c>
      <c r="C6">
        <v>1000</v>
      </c>
      <c r="D6">
        <v>0</v>
      </c>
      <c r="E6">
        <v>6379</v>
      </c>
      <c r="F6">
        <v>5617</v>
      </c>
      <c r="G6">
        <f t="shared" ref="G6" si="2">(E6-F6)/E6</f>
        <v>0.11945445994670011</v>
      </c>
    </row>
    <row r="7" spans="1:8" x14ac:dyDescent="0.2">
      <c r="B7" t="s">
        <v>3</v>
      </c>
      <c r="C7">
        <v>1000</v>
      </c>
      <c r="D7">
        <v>25</v>
      </c>
      <c r="E7">
        <v>6491</v>
      </c>
      <c r="F7">
        <v>5315</v>
      </c>
      <c r="G7">
        <f>(E7-F7)/E7</f>
        <v>0.18117393313819133</v>
      </c>
      <c r="H7">
        <f>(E7-E8)/E8</f>
        <v>3.7232342601470118E-2</v>
      </c>
    </row>
    <row r="8" spans="1:8" x14ac:dyDescent="0.2">
      <c r="B8" t="s">
        <v>4</v>
      </c>
      <c r="C8">
        <v>1000</v>
      </c>
      <c r="D8">
        <v>25</v>
      </c>
      <c r="E8" s="1">
        <f>SUM(1955,1373,1007,1198,725)</f>
        <v>6258</v>
      </c>
      <c r="F8">
        <f>SUM(1826,1020,932,1090,668)</f>
        <v>5536</v>
      </c>
      <c r="G8">
        <f t="shared" ref="G8" si="3">(E8-F8)/E8</f>
        <v>0.11537232342601469</v>
      </c>
    </row>
    <row r="10" spans="1:8" x14ac:dyDescent="0.2">
      <c r="A10" t="s">
        <v>13</v>
      </c>
      <c r="B10" t="s">
        <v>3</v>
      </c>
      <c r="C10">
        <v>1000</v>
      </c>
      <c r="D10">
        <v>0</v>
      </c>
      <c r="E10">
        <v>5807</v>
      </c>
      <c r="F10">
        <v>4764</v>
      </c>
      <c r="G10">
        <f t="shared" ref="G10" si="4">(E10-F10)/E10</f>
        <v>0.17961081453418287</v>
      </c>
    </row>
    <row r="11" spans="1:8" x14ac:dyDescent="0.2">
      <c r="B11" t="s">
        <v>3</v>
      </c>
      <c r="C11">
        <v>1000</v>
      </c>
      <c r="D11">
        <v>25</v>
      </c>
      <c r="E11">
        <v>5927</v>
      </c>
      <c r="F11">
        <v>4571</v>
      </c>
      <c r="G11">
        <f>(E11-F11)/E11</f>
        <v>0.22878353298464654</v>
      </c>
      <c r="H11">
        <f>(E11-E12)/E12</f>
        <v>6.623641304347826E-3</v>
      </c>
    </row>
    <row r="12" spans="1:8" x14ac:dyDescent="0.2">
      <c r="B12" t="s">
        <v>4</v>
      </c>
      <c r="C12">
        <v>1000</v>
      </c>
      <c r="D12">
        <v>25</v>
      </c>
      <c r="E12" s="1">
        <f>SUM(326,1160,1412,1308,1682)</f>
        <v>5888</v>
      </c>
      <c r="F12">
        <f>SUM(326,783,1170,1082,1506)</f>
        <v>4867</v>
      </c>
      <c r="G12">
        <f t="shared" ref="G12" si="5">(E12-F12)/E12</f>
        <v>0.17340353260869565</v>
      </c>
    </row>
    <row r="13" spans="1:8" x14ac:dyDescent="0.2">
      <c r="E13" t="s">
        <v>46</v>
      </c>
    </row>
    <row r="14" spans="1:8" x14ac:dyDescent="0.2">
      <c r="A14" t="s">
        <v>31</v>
      </c>
      <c r="B14" t="s">
        <v>3</v>
      </c>
      <c r="C14">
        <v>1000</v>
      </c>
      <c r="D14">
        <v>0</v>
      </c>
      <c r="E14">
        <v>5854</v>
      </c>
      <c r="F14">
        <v>5101</v>
      </c>
      <c r="G14">
        <f t="shared" ref="G14" si="6">(E14-F14)/E14</f>
        <v>0.12862999658353264</v>
      </c>
    </row>
    <row r="15" spans="1:8" x14ac:dyDescent="0.2">
      <c r="B15" t="s">
        <v>3</v>
      </c>
      <c r="C15">
        <v>1000</v>
      </c>
      <c r="D15">
        <v>25</v>
      </c>
      <c r="E15">
        <v>6051</v>
      </c>
      <c r="F15">
        <v>4810</v>
      </c>
      <c r="G15">
        <f>(E15-F15)/E15</f>
        <v>0.20509006775739547</v>
      </c>
      <c r="H15">
        <f>(E15-E16)/E16</f>
        <v>3.3299180327868855E-2</v>
      </c>
    </row>
    <row r="16" spans="1:8" x14ac:dyDescent="0.2">
      <c r="B16" t="s">
        <v>4</v>
      </c>
      <c r="C16">
        <v>1000</v>
      </c>
      <c r="D16">
        <v>25</v>
      </c>
      <c r="E16" s="1">
        <f>SUM(797,1194,1482,1061,1322)</f>
        <v>5856</v>
      </c>
      <c r="F16">
        <f>SUM(771,1105,1482,850,908)</f>
        <v>5116</v>
      </c>
      <c r="G16">
        <f t="shared" ref="G16" si="7">(E16-F16)/E16</f>
        <v>0.12636612021857924</v>
      </c>
    </row>
    <row r="24" spans="1:12" x14ac:dyDescent="0.2">
      <c r="C24" t="s">
        <v>56</v>
      </c>
      <c r="D24" t="s">
        <v>57</v>
      </c>
      <c r="E24" t="s">
        <v>46</v>
      </c>
      <c r="G24" t="s">
        <v>58</v>
      </c>
      <c r="H24" t="s">
        <v>59</v>
      </c>
      <c r="I24" t="s">
        <v>54</v>
      </c>
      <c r="J24" t="s">
        <v>7</v>
      </c>
      <c r="K24" t="s">
        <v>8</v>
      </c>
      <c r="L24" t="s">
        <v>9</v>
      </c>
    </row>
    <row r="25" spans="1:12" x14ac:dyDescent="0.2">
      <c r="A25" t="s">
        <v>31</v>
      </c>
      <c r="B25" t="s">
        <v>3</v>
      </c>
      <c r="C25">
        <v>1000</v>
      </c>
      <c r="D25">
        <v>0</v>
      </c>
      <c r="E25">
        <v>5854</v>
      </c>
      <c r="G25">
        <v>0</v>
      </c>
      <c r="H25" t="s">
        <v>43</v>
      </c>
      <c r="J25">
        <v>5854</v>
      </c>
      <c r="K25">
        <v>5101</v>
      </c>
      <c r="L25">
        <f t="shared" ref="L25" si="8">(J25-K25)/J25</f>
        <v>0.12862999658353264</v>
      </c>
    </row>
    <row r="26" spans="1:12" x14ac:dyDescent="0.2">
      <c r="B26" t="s">
        <v>3</v>
      </c>
      <c r="C26">
        <v>1000</v>
      </c>
      <c r="D26">
        <v>25</v>
      </c>
      <c r="E26">
        <v>6051</v>
      </c>
      <c r="G26">
        <v>0</v>
      </c>
      <c r="H26" t="s">
        <v>42</v>
      </c>
      <c r="J26">
        <v>6051</v>
      </c>
      <c r="K26">
        <v>4810</v>
      </c>
      <c r="L26">
        <f>(J26-K26)/J26</f>
        <v>0.20509006775739547</v>
      </c>
    </row>
    <row r="27" spans="1:12" x14ac:dyDescent="0.2">
      <c r="B27" t="s">
        <v>4</v>
      </c>
      <c r="C27">
        <v>1000</v>
      </c>
      <c r="D27">
        <v>25</v>
      </c>
      <c r="E27" s="1">
        <f>SUM(797,1194,1482,1061,1322)</f>
        <v>5856</v>
      </c>
      <c r="G27">
        <v>0</v>
      </c>
      <c r="H27" t="s">
        <v>42</v>
      </c>
      <c r="J27" s="1">
        <f>SUM(797,1194,1482,1061,1322)</f>
        <v>5856</v>
      </c>
      <c r="K27">
        <f>SUM(771,1105,1482,850,908)</f>
        <v>5116</v>
      </c>
      <c r="L27">
        <f t="shared" ref="L27" si="9">(J27-K27)/J27</f>
        <v>0.12636612021857924</v>
      </c>
    </row>
    <row r="28" spans="1:12" x14ac:dyDescent="0.2">
      <c r="A28" t="s">
        <v>47</v>
      </c>
      <c r="B28" t="s">
        <v>3</v>
      </c>
      <c r="C28">
        <v>1000</v>
      </c>
      <c r="D28" t="s">
        <v>32</v>
      </c>
      <c r="E28">
        <v>8097</v>
      </c>
      <c r="G28">
        <f t="shared" ref="G28:G33" si="10">J28-E28</f>
        <v>9000</v>
      </c>
      <c r="H28" t="s">
        <v>53</v>
      </c>
      <c r="I28" s="3">
        <f>1.5*60*100</f>
        <v>9000</v>
      </c>
      <c r="J28">
        <v>17097</v>
      </c>
      <c r="K28">
        <v>4809</v>
      </c>
      <c r="L28">
        <f t="shared" ref="L28:L31" si="11">(J28-K28)/J28</f>
        <v>0.71872258290928237</v>
      </c>
    </row>
    <row r="29" spans="1:12" x14ac:dyDescent="0.2">
      <c r="B29" t="s">
        <v>3</v>
      </c>
      <c r="C29">
        <v>1000</v>
      </c>
      <c r="D29" t="s">
        <v>34</v>
      </c>
      <c r="E29">
        <v>8053</v>
      </c>
      <c r="G29">
        <f t="shared" si="10"/>
        <v>4500</v>
      </c>
      <c r="H29" t="s">
        <v>33</v>
      </c>
      <c r="I29" s="3">
        <f>1.5*60*50</f>
        <v>4500</v>
      </c>
      <c r="J29">
        <v>12553</v>
      </c>
      <c r="K29">
        <v>4802</v>
      </c>
      <c r="L29">
        <f t="shared" si="11"/>
        <v>0.6174619612841552</v>
      </c>
    </row>
    <row r="30" spans="1:12" x14ac:dyDescent="0.2">
      <c r="B30" t="s">
        <v>3</v>
      </c>
      <c r="C30">
        <v>1000</v>
      </c>
      <c r="D30" t="s">
        <v>35</v>
      </c>
      <c r="E30">
        <v>7360</v>
      </c>
      <c r="G30">
        <f t="shared" si="10"/>
        <v>1800</v>
      </c>
      <c r="H30" t="s">
        <v>37</v>
      </c>
      <c r="I30" s="3">
        <f>1.5*60*20</f>
        <v>1800</v>
      </c>
      <c r="J30">
        <v>9160</v>
      </c>
      <c r="K30">
        <v>4780</v>
      </c>
      <c r="L30">
        <f t="shared" si="11"/>
        <v>0.47816593886462883</v>
      </c>
    </row>
    <row r="31" spans="1:12" x14ac:dyDescent="0.2">
      <c r="B31" t="s">
        <v>3</v>
      </c>
      <c r="C31">
        <v>1000</v>
      </c>
      <c r="D31" t="s">
        <v>36</v>
      </c>
      <c r="E31">
        <v>7226</v>
      </c>
      <c r="G31">
        <f t="shared" si="10"/>
        <v>1200</v>
      </c>
      <c r="H31" t="s">
        <v>38</v>
      </c>
      <c r="I31" s="3">
        <f>2*60*10</f>
        <v>1200</v>
      </c>
      <c r="J31">
        <v>8426</v>
      </c>
      <c r="K31">
        <v>4805</v>
      </c>
      <c r="L31">
        <f t="shared" si="11"/>
        <v>0.42974127699976267</v>
      </c>
    </row>
    <row r="32" spans="1:12" x14ac:dyDescent="0.2">
      <c r="B32" t="s">
        <v>3</v>
      </c>
      <c r="C32">
        <v>1000</v>
      </c>
      <c r="D32" t="s">
        <v>45</v>
      </c>
      <c r="E32">
        <v>7357</v>
      </c>
      <c r="G32">
        <f t="shared" si="10"/>
        <v>900</v>
      </c>
      <c r="H32" t="s">
        <v>44</v>
      </c>
      <c r="I32" s="3">
        <f>3*5*60</f>
        <v>900</v>
      </c>
      <c r="J32">
        <v>8257</v>
      </c>
      <c r="K32">
        <v>4790</v>
      </c>
      <c r="L32">
        <f>(J32-K32)/J32</f>
        <v>0.41988615719995154</v>
      </c>
    </row>
    <row r="33" spans="1:12" x14ac:dyDescent="0.2">
      <c r="B33" t="s">
        <v>3</v>
      </c>
      <c r="C33">
        <v>1000</v>
      </c>
      <c r="D33" t="s">
        <v>39</v>
      </c>
      <c r="E33">
        <v>6423</v>
      </c>
      <c r="G33">
        <f t="shared" si="10"/>
        <v>630</v>
      </c>
      <c r="H33" t="s">
        <v>41</v>
      </c>
      <c r="I33" s="3">
        <f>10.5*60</f>
        <v>630</v>
      </c>
      <c r="J33">
        <v>7053</v>
      </c>
      <c r="K33">
        <v>4793</v>
      </c>
      <c r="L33">
        <f>(J33-K33)/J33</f>
        <v>0.32043102226003117</v>
      </c>
    </row>
    <row r="34" spans="1:12" x14ac:dyDescent="0.2">
      <c r="I34" s="3"/>
    </row>
    <row r="35" spans="1:12" x14ac:dyDescent="0.2">
      <c r="A35" t="s">
        <v>48</v>
      </c>
      <c r="D35" t="s">
        <v>75</v>
      </c>
      <c r="I35" s="3"/>
    </row>
    <row r="36" spans="1:12" x14ac:dyDescent="0.2">
      <c r="B36" t="s">
        <v>3</v>
      </c>
      <c r="C36">
        <v>1000</v>
      </c>
      <c r="D36" t="s">
        <v>32</v>
      </c>
      <c r="E36">
        <v>7062</v>
      </c>
      <c r="G36">
        <f t="shared" ref="G36:G41" si="12">J36-E36</f>
        <v>111000</v>
      </c>
      <c r="H36" t="s">
        <v>49</v>
      </c>
      <c r="I36" s="3">
        <f>18.5*60*100</f>
        <v>111000</v>
      </c>
      <c r="J36">
        <v>118062</v>
      </c>
      <c r="K36">
        <v>107052</v>
      </c>
      <c r="L36">
        <f t="shared" ref="L36:L41" si="13">(J36-K36)/J36</f>
        <v>9.3256085785434775E-2</v>
      </c>
    </row>
    <row r="37" spans="1:12" x14ac:dyDescent="0.2">
      <c r="B37" t="s">
        <v>3</v>
      </c>
      <c r="C37">
        <v>1000</v>
      </c>
      <c r="D37" t="s">
        <v>34</v>
      </c>
      <c r="E37">
        <v>6986</v>
      </c>
      <c r="G37">
        <f t="shared" si="12"/>
        <v>57000</v>
      </c>
      <c r="H37" s="2" t="s">
        <v>50</v>
      </c>
      <c r="I37" s="3">
        <f>19*60*50</f>
        <v>57000</v>
      </c>
      <c r="J37">
        <v>63986</v>
      </c>
      <c r="K37">
        <v>55920</v>
      </c>
      <c r="L37">
        <f t="shared" si="13"/>
        <v>0.12605882536804927</v>
      </c>
    </row>
    <row r="38" spans="1:12" x14ac:dyDescent="0.2">
      <c r="B38" t="s">
        <v>3</v>
      </c>
      <c r="C38">
        <v>1000</v>
      </c>
      <c r="D38" t="s">
        <v>35</v>
      </c>
      <c r="E38">
        <v>7083</v>
      </c>
      <c r="G38">
        <f t="shared" si="12"/>
        <v>22200</v>
      </c>
      <c r="H38" t="s">
        <v>49</v>
      </c>
      <c r="I38" s="3">
        <f>18.5*60*20</f>
        <v>22200</v>
      </c>
      <c r="J38">
        <v>29283</v>
      </c>
      <c r="K38">
        <v>25233</v>
      </c>
      <c r="L38">
        <f t="shared" si="13"/>
        <v>0.13830550148550352</v>
      </c>
    </row>
    <row r="39" spans="1:12" x14ac:dyDescent="0.2">
      <c r="B39" t="s">
        <v>3</v>
      </c>
      <c r="C39">
        <v>1000</v>
      </c>
      <c r="D39" t="s">
        <v>36</v>
      </c>
      <c r="E39">
        <v>6694</v>
      </c>
      <c r="G39">
        <f t="shared" si="12"/>
        <v>11400</v>
      </c>
      <c r="H39" t="s">
        <v>51</v>
      </c>
      <c r="I39" s="3">
        <f>19*10*60</f>
        <v>11400</v>
      </c>
      <c r="J39">
        <v>18094</v>
      </c>
      <c r="K39">
        <v>14992</v>
      </c>
      <c r="L39">
        <f t="shared" si="13"/>
        <v>0.17143804576102575</v>
      </c>
    </row>
    <row r="40" spans="1:12" x14ac:dyDescent="0.2">
      <c r="B40" t="s">
        <v>3</v>
      </c>
      <c r="C40">
        <v>1000</v>
      </c>
      <c r="D40" t="s">
        <v>45</v>
      </c>
      <c r="E40">
        <v>6668</v>
      </c>
      <c r="G40">
        <f t="shared" si="12"/>
        <v>5850</v>
      </c>
      <c r="H40" t="s">
        <v>52</v>
      </c>
      <c r="I40" s="3">
        <f>19.5*5*60</f>
        <v>5850</v>
      </c>
      <c r="J40">
        <v>12518</v>
      </c>
      <c r="K40">
        <v>9884</v>
      </c>
      <c r="L40">
        <f t="shared" si="13"/>
        <v>0.21041699952069021</v>
      </c>
    </row>
    <row r="41" spans="1:12" x14ac:dyDescent="0.2">
      <c r="B41" t="s">
        <v>3</v>
      </c>
      <c r="C41">
        <v>1000</v>
      </c>
      <c r="D41" t="s">
        <v>39</v>
      </c>
      <c r="E41">
        <v>6263</v>
      </c>
      <c r="G41">
        <f t="shared" si="12"/>
        <v>1350</v>
      </c>
      <c r="H41" t="s">
        <v>55</v>
      </c>
      <c r="I41" s="3">
        <f>22.5*60</f>
        <v>1350</v>
      </c>
      <c r="J41">
        <v>7613</v>
      </c>
      <c r="K41">
        <v>5779</v>
      </c>
      <c r="L41">
        <f t="shared" si="13"/>
        <v>0.24090371732562721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756A-06F6-5E44-BEE7-35DBF9E3367D}">
  <dimension ref="A1:L38"/>
  <sheetViews>
    <sheetView topLeftCell="A8" workbookViewId="0">
      <selection activeCell="N32" sqref="N32"/>
    </sheetView>
  </sheetViews>
  <sheetFormatPr baseColWidth="10" defaultRowHeight="16" x14ac:dyDescent="0.2"/>
  <cols>
    <col min="9" max="9" width="12.1640625" bestFit="1" customWidth="1"/>
  </cols>
  <sheetData>
    <row r="1" spans="1:8" x14ac:dyDescent="0.2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8" x14ac:dyDescent="0.2">
      <c r="A2" t="s">
        <v>23</v>
      </c>
      <c r="B2" t="s">
        <v>3</v>
      </c>
      <c r="C2">
        <v>1000</v>
      </c>
      <c r="D2">
        <v>0</v>
      </c>
      <c r="E2">
        <v>8354</v>
      </c>
      <c r="F2">
        <v>7351</v>
      </c>
      <c r="G2">
        <f>(E2-F2)/E2</f>
        <v>0.12006224563083553</v>
      </c>
    </row>
    <row r="3" spans="1:8" x14ac:dyDescent="0.2">
      <c r="B3" t="s">
        <v>3</v>
      </c>
      <c r="C3">
        <v>1000</v>
      </c>
      <c r="D3">
        <v>25</v>
      </c>
      <c r="E3">
        <v>8366</v>
      </c>
      <c r="F3">
        <v>7149</v>
      </c>
      <c r="G3">
        <f>(E3-F3)/E3</f>
        <v>0.14546975854649774</v>
      </c>
      <c r="H3">
        <f>(E3-E4)/E4</f>
        <v>5.7113975233762951E-2</v>
      </c>
    </row>
    <row r="4" spans="1:8" x14ac:dyDescent="0.2">
      <c r="B4" t="s">
        <v>4</v>
      </c>
      <c r="C4">
        <v>1000</v>
      </c>
      <c r="D4">
        <v>25</v>
      </c>
      <c r="E4" s="1">
        <f>SUM(1647,2514,1873,1219,661)</f>
        <v>7914</v>
      </c>
      <c r="F4">
        <f>SUM(1244,2372,1618,1219,661)</f>
        <v>7114</v>
      </c>
      <c r="G4">
        <f>(E4-F4)/E4</f>
        <v>0.10108668182966894</v>
      </c>
    </row>
    <row r="6" spans="1:8" x14ac:dyDescent="0.2">
      <c r="A6" t="s">
        <v>24</v>
      </c>
      <c r="B6" t="s">
        <v>3</v>
      </c>
      <c r="C6">
        <v>1000</v>
      </c>
      <c r="D6">
        <v>0</v>
      </c>
      <c r="E6">
        <v>7769</v>
      </c>
      <c r="F6">
        <v>6859</v>
      </c>
      <c r="G6">
        <f>(E6-F6)/E6</f>
        <v>0.11713219204530828</v>
      </c>
    </row>
    <row r="7" spans="1:8" x14ac:dyDescent="0.2">
      <c r="B7" t="s">
        <v>3</v>
      </c>
      <c r="C7">
        <v>1000</v>
      </c>
      <c r="D7">
        <v>25</v>
      </c>
      <c r="E7">
        <v>7829</v>
      </c>
      <c r="F7">
        <v>6565</v>
      </c>
      <c r="G7">
        <f>(E7-F7)/E7</f>
        <v>0.16145101545535828</v>
      </c>
      <c r="H7">
        <f>(E7-E8)/E8</f>
        <v>8.0607315389924092E-2</v>
      </c>
    </row>
    <row r="8" spans="1:8" x14ac:dyDescent="0.2">
      <c r="B8" t="s">
        <v>4</v>
      </c>
      <c r="C8">
        <v>1000</v>
      </c>
      <c r="D8">
        <v>25</v>
      </c>
      <c r="E8" s="1">
        <f>SUM(1464,914,1137,1622,2108)</f>
        <v>7245</v>
      </c>
      <c r="F8">
        <f>SUM(1375,914,1058,1213,1968)</f>
        <v>6528</v>
      </c>
      <c r="G8">
        <f>(E8-F8)/E8</f>
        <v>9.8964803312629399E-2</v>
      </c>
    </row>
    <row r="10" spans="1:8" x14ac:dyDescent="0.2">
      <c r="A10" t="s">
        <v>25</v>
      </c>
      <c r="B10" t="s">
        <v>3</v>
      </c>
      <c r="C10">
        <v>1000</v>
      </c>
      <c r="D10">
        <v>0</v>
      </c>
      <c r="E10">
        <v>8188</v>
      </c>
      <c r="F10">
        <v>6989</v>
      </c>
      <c r="G10">
        <f>(E10-F10)/E10</f>
        <v>0.14643380556912555</v>
      </c>
    </row>
    <row r="11" spans="1:8" x14ac:dyDescent="0.2">
      <c r="B11" t="s">
        <v>3</v>
      </c>
      <c r="C11">
        <v>1000</v>
      </c>
      <c r="D11">
        <v>25</v>
      </c>
      <c r="E11">
        <v>8214</v>
      </c>
      <c r="F11">
        <v>6780</v>
      </c>
      <c r="G11">
        <f>(E11-F11)/E11</f>
        <v>0.17457998539079619</v>
      </c>
      <c r="H11">
        <f>(E11-E12)/E12</f>
        <v>1.7717754925040269E-2</v>
      </c>
    </row>
    <row r="12" spans="1:8" x14ac:dyDescent="0.2">
      <c r="B12" t="s">
        <v>4</v>
      </c>
      <c r="C12">
        <v>1000</v>
      </c>
      <c r="D12">
        <v>25</v>
      </c>
      <c r="E12" s="1">
        <f>SUM(2393,1611,1894,550,1623)</f>
        <v>8071</v>
      </c>
      <c r="F12">
        <f>SUM(2049,1361,1707,550,1311)</f>
        <v>6978</v>
      </c>
      <c r="G12">
        <f>(E12-F12)/E12</f>
        <v>0.13542311981167141</v>
      </c>
    </row>
    <row r="14" spans="1:8" x14ac:dyDescent="0.2">
      <c r="A14" t="s">
        <v>14</v>
      </c>
      <c r="B14" t="s">
        <v>3</v>
      </c>
      <c r="C14">
        <v>1000</v>
      </c>
      <c r="D14">
        <v>0</v>
      </c>
      <c r="E14">
        <v>8029</v>
      </c>
      <c r="F14">
        <v>7134</v>
      </c>
      <c r="G14">
        <f>(E14-F14)/E14</f>
        <v>0.11147091792253083</v>
      </c>
    </row>
    <row r="15" spans="1:8" x14ac:dyDescent="0.2">
      <c r="B15" t="s">
        <v>3</v>
      </c>
      <c r="C15">
        <v>1000</v>
      </c>
      <c r="D15">
        <v>25</v>
      </c>
      <c r="E15">
        <v>8111</v>
      </c>
      <c r="F15">
        <v>6795</v>
      </c>
      <c r="G15">
        <f t="shared" ref="G15:G16" si="0">(E15-F15)/E15</f>
        <v>0.16224879792873875</v>
      </c>
      <c r="H15">
        <f>(E15-E16)/E16</f>
        <v>3.0884595831215049E-2</v>
      </c>
    </row>
    <row r="16" spans="1:8" x14ac:dyDescent="0.2">
      <c r="B16" t="s">
        <v>4</v>
      </c>
      <c r="C16">
        <v>1000</v>
      </c>
      <c r="D16">
        <v>25</v>
      </c>
      <c r="E16" s="1">
        <f>SUM(1061,1326,2009,1665,1807)</f>
        <v>7868</v>
      </c>
      <c r="F16">
        <f>SUM(1005,1198,1857,1526,1479)</f>
        <v>7065</v>
      </c>
      <c r="G16">
        <f t="shared" si="0"/>
        <v>0.10205897305541434</v>
      </c>
    </row>
    <row r="20" spans="1:12" x14ac:dyDescent="0.2">
      <c r="C20" t="s">
        <v>56</v>
      </c>
      <c r="D20" t="s">
        <v>57</v>
      </c>
      <c r="E20" t="s">
        <v>46</v>
      </c>
      <c r="G20" t="s">
        <v>58</v>
      </c>
      <c r="H20" t="s">
        <v>59</v>
      </c>
      <c r="I20" t="s">
        <v>54</v>
      </c>
      <c r="J20" t="s">
        <v>7</v>
      </c>
      <c r="K20" t="s">
        <v>8</v>
      </c>
      <c r="L20" t="s">
        <v>9</v>
      </c>
    </row>
    <row r="21" spans="1:12" x14ac:dyDescent="0.2">
      <c r="A21" t="s">
        <v>14</v>
      </c>
      <c r="B21" t="s">
        <v>3</v>
      </c>
      <c r="C21">
        <v>1000</v>
      </c>
      <c r="D21">
        <v>0</v>
      </c>
      <c r="E21">
        <v>8029</v>
      </c>
      <c r="G21">
        <v>0</v>
      </c>
      <c r="H21" t="s">
        <v>61</v>
      </c>
      <c r="J21">
        <v>8029</v>
      </c>
      <c r="K21">
        <v>7134</v>
      </c>
      <c r="L21">
        <f>(J21-K21)/J21</f>
        <v>0.11147091792253083</v>
      </c>
    </row>
    <row r="22" spans="1:12" x14ac:dyDescent="0.2">
      <c r="B22" t="s">
        <v>3</v>
      </c>
      <c r="C22">
        <v>1000</v>
      </c>
      <c r="D22">
        <v>25</v>
      </c>
      <c r="E22">
        <v>8111</v>
      </c>
      <c r="G22">
        <v>0</v>
      </c>
      <c r="J22">
        <v>8111</v>
      </c>
      <c r="K22">
        <v>6795</v>
      </c>
      <c r="L22">
        <f t="shared" ref="L22:L24" si="1">(J22-K22)/J22</f>
        <v>0.16224879792873875</v>
      </c>
    </row>
    <row r="23" spans="1:12" x14ac:dyDescent="0.2">
      <c r="B23" t="s">
        <v>4</v>
      </c>
      <c r="C23">
        <v>1000</v>
      </c>
      <c r="D23">
        <v>25</v>
      </c>
      <c r="E23" s="1">
        <f>SUM(1061,1326,2009,1665,1807)</f>
        <v>7868</v>
      </c>
      <c r="G23">
        <v>0</v>
      </c>
      <c r="J23" s="1">
        <f>SUM(1061,1326,2009,1665,1807)</f>
        <v>7868</v>
      </c>
      <c r="K23">
        <f>SUM(1005,1198,1857,1526,1479)</f>
        <v>7065</v>
      </c>
      <c r="L23">
        <f t="shared" si="1"/>
        <v>0.10205897305541434</v>
      </c>
    </row>
    <row r="24" spans="1:12" x14ac:dyDescent="0.2">
      <c r="B24" t="s">
        <v>4</v>
      </c>
      <c r="C24">
        <v>1000</v>
      </c>
      <c r="D24">
        <v>20</v>
      </c>
      <c r="E24">
        <f>SUM(1813,1665,2060,1550,1246)</f>
        <v>8334</v>
      </c>
      <c r="H24" s="2" t="s">
        <v>70</v>
      </c>
      <c r="J24">
        <f>SUM(1813,1665,2060,1550,1246)</f>
        <v>8334</v>
      </c>
      <c r="K24">
        <f>SUM(1408,1547,1935,1442,1246)</f>
        <v>7578</v>
      </c>
      <c r="L24">
        <f t="shared" si="1"/>
        <v>9.0712742980561561E-2</v>
      </c>
    </row>
    <row r="26" spans="1:12" x14ac:dyDescent="0.2">
      <c r="A26" t="s">
        <v>47</v>
      </c>
      <c r="B26" t="s">
        <v>3</v>
      </c>
      <c r="C26">
        <v>1000</v>
      </c>
      <c r="D26" t="s">
        <v>32</v>
      </c>
      <c r="E26">
        <v>9097</v>
      </c>
      <c r="G26">
        <f t="shared" ref="G26:G31" si="2">J26-E26</f>
        <v>9000</v>
      </c>
      <c r="H26" t="s">
        <v>60</v>
      </c>
      <c r="I26" s="3">
        <f>1.5*60*100</f>
        <v>9000</v>
      </c>
      <c r="J26">
        <v>18097</v>
      </c>
      <c r="K26">
        <v>6647</v>
      </c>
      <c r="L26">
        <f t="shared" ref="L26:L31" si="3">(J26-K26)/J26</f>
        <v>0.63270155274354867</v>
      </c>
    </row>
    <row r="27" spans="1:12" x14ac:dyDescent="0.2">
      <c r="B27" t="s">
        <v>3</v>
      </c>
      <c r="C27">
        <v>1000</v>
      </c>
      <c r="D27" t="s">
        <v>34</v>
      </c>
      <c r="E27">
        <v>8955</v>
      </c>
      <c r="G27">
        <f t="shared" si="2"/>
        <v>6000</v>
      </c>
      <c r="H27" t="s">
        <v>38</v>
      </c>
      <c r="I27" s="3">
        <f>2*60*50</f>
        <v>6000</v>
      </c>
      <c r="J27">
        <v>14955</v>
      </c>
      <c r="K27">
        <v>6634</v>
      </c>
      <c r="L27">
        <f t="shared" si="3"/>
        <v>0.5564025409562019</v>
      </c>
    </row>
    <row r="28" spans="1:12" x14ac:dyDescent="0.2">
      <c r="B28" t="s">
        <v>3</v>
      </c>
      <c r="C28">
        <v>1000</v>
      </c>
      <c r="D28" t="s">
        <v>35</v>
      </c>
      <c r="G28">
        <f t="shared" si="2"/>
        <v>0</v>
      </c>
      <c r="I28" s="3"/>
      <c r="L28" t="e">
        <f t="shared" si="3"/>
        <v>#DIV/0!</v>
      </c>
    </row>
    <row r="29" spans="1:12" x14ac:dyDescent="0.2">
      <c r="B29" t="s">
        <v>3</v>
      </c>
      <c r="C29">
        <v>1000</v>
      </c>
      <c r="D29" t="s">
        <v>36</v>
      </c>
      <c r="E29">
        <v>8699</v>
      </c>
      <c r="G29">
        <f t="shared" si="2"/>
        <v>1500</v>
      </c>
      <c r="H29" t="s">
        <v>63</v>
      </c>
      <c r="I29" s="3">
        <f>2.5*60*10</f>
        <v>1500</v>
      </c>
      <c r="J29">
        <v>10199</v>
      </c>
      <c r="K29">
        <v>6605</v>
      </c>
      <c r="L29">
        <f t="shared" si="3"/>
        <v>0.35238748896950683</v>
      </c>
    </row>
    <row r="30" spans="1:12" x14ac:dyDescent="0.2">
      <c r="B30" t="s">
        <v>3</v>
      </c>
      <c r="C30">
        <v>1000</v>
      </c>
      <c r="D30" t="s">
        <v>45</v>
      </c>
      <c r="G30">
        <f t="shared" si="2"/>
        <v>0</v>
      </c>
      <c r="I30" s="3"/>
      <c r="L30" t="e">
        <f>(J30-K30)/J30</f>
        <v>#DIV/0!</v>
      </c>
    </row>
    <row r="31" spans="1:12" x14ac:dyDescent="0.2">
      <c r="B31" t="s">
        <v>3</v>
      </c>
      <c r="C31">
        <v>1000</v>
      </c>
      <c r="D31" t="s">
        <v>39</v>
      </c>
      <c r="E31">
        <v>8453</v>
      </c>
      <c r="G31">
        <f t="shared" si="2"/>
        <v>390</v>
      </c>
      <c r="H31" t="s">
        <v>62</v>
      </c>
      <c r="I31" s="3">
        <f>6.5*60*1</f>
        <v>390</v>
      </c>
      <c r="J31">
        <v>8843</v>
      </c>
      <c r="K31">
        <v>6649</v>
      </c>
      <c r="L31">
        <f t="shared" si="3"/>
        <v>0.24810584643220626</v>
      </c>
    </row>
    <row r="32" spans="1:12" x14ac:dyDescent="0.2">
      <c r="I32" s="3"/>
    </row>
    <row r="33" spans="1:12" x14ac:dyDescent="0.2">
      <c r="A33" t="s">
        <v>48</v>
      </c>
      <c r="B33" t="s">
        <v>3</v>
      </c>
      <c r="C33">
        <v>1000</v>
      </c>
      <c r="D33" t="s">
        <v>32</v>
      </c>
      <c r="E33">
        <v>8677</v>
      </c>
      <c r="G33">
        <f t="shared" ref="G33:G38" si="4">J33-E33</f>
        <v>108000</v>
      </c>
      <c r="H33" t="s">
        <v>64</v>
      </c>
      <c r="I33" s="3">
        <f>18*100*60</f>
        <v>108000</v>
      </c>
      <c r="J33">
        <v>116677</v>
      </c>
      <c r="K33">
        <v>108919</v>
      </c>
      <c r="L33">
        <f t="shared" ref="L33:L38" si="5">(J33-K33)/J33</f>
        <v>6.6491253631821179E-2</v>
      </c>
    </row>
    <row r="34" spans="1:12" x14ac:dyDescent="0.2">
      <c r="B34" t="s">
        <v>3</v>
      </c>
      <c r="C34">
        <v>1000</v>
      </c>
      <c r="D34" t="s">
        <v>34</v>
      </c>
      <c r="E34">
        <v>8519</v>
      </c>
      <c r="G34">
        <f t="shared" si="4"/>
        <v>55500</v>
      </c>
      <c r="H34" s="2" t="s">
        <v>65</v>
      </c>
      <c r="I34" s="3">
        <f>18.5*50*60</f>
        <v>55500</v>
      </c>
      <c r="J34">
        <v>64019</v>
      </c>
      <c r="K34">
        <v>57771</v>
      </c>
      <c r="L34">
        <f t="shared" si="5"/>
        <v>9.7596026179727888E-2</v>
      </c>
    </row>
    <row r="35" spans="1:12" x14ac:dyDescent="0.2">
      <c r="B35" t="s">
        <v>3</v>
      </c>
      <c r="C35">
        <v>1000</v>
      </c>
      <c r="D35" t="s">
        <v>35</v>
      </c>
      <c r="G35">
        <f t="shared" si="4"/>
        <v>0</v>
      </c>
      <c r="I35" s="3"/>
      <c r="L35" t="e">
        <f t="shared" si="5"/>
        <v>#DIV/0!</v>
      </c>
    </row>
    <row r="36" spans="1:12" x14ac:dyDescent="0.2">
      <c r="B36" t="s">
        <v>3</v>
      </c>
      <c r="C36">
        <v>1000</v>
      </c>
      <c r="D36" t="s">
        <v>36</v>
      </c>
      <c r="E36">
        <v>8380</v>
      </c>
      <c r="G36">
        <f t="shared" si="4"/>
        <v>11400</v>
      </c>
      <c r="H36" t="s">
        <v>66</v>
      </c>
      <c r="I36" s="3">
        <f>19*10*60</f>
        <v>11400</v>
      </c>
      <c r="J36">
        <v>19780</v>
      </c>
      <c r="K36">
        <v>16862</v>
      </c>
      <c r="L36">
        <f t="shared" si="5"/>
        <v>0.14752275025278058</v>
      </c>
    </row>
    <row r="37" spans="1:12" x14ac:dyDescent="0.2">
      <c r="B37" t="s">
        <v>3</v>
      </c>
      <c r="C37">
        <v>1000</v>
      </c>
      <c r="D37" t="s">
        <v>45</v>
      </c>
      <c r="G37">
        <f t="shared" si="4"/>
        <v>0</v>
      </c>
      <c r="I37" s="3"/>
      <c r="L37" t="e">
        <f t="shared" si="5"/>
        <v>#DIV/0!</v>
      </c>
    </row>
    <row r="38" spans="1:12" x14ac:dyDescent="0.2">
      <c r="B38" t="s">
        <v>3</v>
      </c>
      <c r="C38">
        <v>1000</v>
      </c>
      <c r="D38" t="s">
        <v>39</v>
      </c>
      <c r="E38">
        <v>8217</v>
      </c>
      <c r="G38">
        <f t="shared" si="4"/>
        <v>1290</v>
      </c>
      <c r="H38" t="s">
        <v>67</v>
      </c>
      <c r="I38" s="3">
        <f>21.5*60*1</f>
        <v>1290</v>
      </c>
      <c r="J38">
        <v>9507</v>
      </c>
      <c r="K38">
        <v>7673</v>
      </c>
      <c r="L38">
        <f t="shared" si="5"/>
        <v>0.19291048700957189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0206-9ED5-FA4B-AD70-D5B9A84AE617}">
  <dimension ref="A1:H5"/>
  <sheetViews>
    <sheetView zoomScale="175" workbookViewId="0">
      <selection activeCell="A7" sqref="A7"/>
    </sheetView>
  </sheetViews>
  <sheetFormatPr baseColWidth="10" defaultRowHeight="16" x14ac:dyDescent="0.2"/>
  <sheetData>
    <row r="1" spans="1:8" x14ac:dyDescent="0.2"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8" x14ac:dyDescent="0.2">
      <c r="A2">
        <v>1</v>
      </c>
      <c r="B2">
        <v>12</v>
      </c>
      <c r="C2">
        <v>7</v>
      </c>
      <c r="D2">
        <v>5</v>
      </c>
      <c r="E2">
        <v>13</v>
      </c>
      <c r="F2">
        <v>13</v>
      </c>
      <c r="H2" t="s">
        <v>11</v>
      </c>
    </row>
    <row r="3" spans="1:8" x14ac:dyDescent="0.2">
      <c r="A3">
        <v>2</v>
      </c>
      <c r="B3">
        <v>7</v>
      </c>
      <c r="C3">
        <v>10</v>
      </c>
      <c r="D3">
        <v>12</v>
      </c>
      <c r="E3">
        <v>12</v>
      </c>
      <c r="F3">
        <v>9</v>
      </c>
      <c r="H3" t="s">
        <v>12</v>
      </c>
    </row>
    <row r="4" spans="1:8" x14ac:dyDescent="0.2">
      <c r="A4">
        <v>3</v>
      </c>
      <c r="B4">
        <v>11</v>
      </c>
      <c r="C4">
        <v>12</v>
      </c>
      <c r="D4">
        <v>13</v>
      </c>
      <c r="E4">
        <v>12</v>
      </c>
      <c r="F4">
        <v>2</v>
      </c>
      <c r="H4" t="s">
        <v>13</v>
      </c>
    </row>
    <row r="5" spans="1:8" x14ac:dyDescent="0.2">
      <c r="A5">
        <v>4</v>
      </c>
      <c r="B5">
        <v>13</v>
      </c>
      <c r="C5">
        <v>7</v>
      </c>
      <c r="D5">
        <v>11</v>
      </c>
      <c r="E5">
        <v>10</v>
      </c>
      <c r="F5">
        <v>9</v>
      </c>
      <c r="H5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1E4E-E508-1447-829F-1FF969F70279}">
  <dimension ref="A1:H38"/>
  <sheetViews>
    <sheetView tabSelected="1" topLeftCell="A19" zoomScale="200" workbookViewId="0">
      <selection activeCell="J25" sqref="J25"/>
    </sheetView>
  </sheetViews>
  <sheetFormatPr baseColWidth="10" defaultRowHeight="16" x14ac:dyDescent="0.2"/>
  <cols>
    <col min="3" max="4" width="5" customWidth="1"/>
    <col min="5" max="5" width="9" bestFit="1" customWidth="1"/>
    <col min="6" max="6" width="7.83203125" customWidth="1"/>
    <col min="7" max="7" width="6.83203125" customWidth="1"/>
  </cols>
  <sheetData>
    <row r="1" spans="1:8" x14ac:dyDescent="0.2">
      <c r="A1" t="s">
        <v>0</v>
      </c>
      <c r="B1" t="s">
        <v>2</v>
      </c>
      <c r="C1" t="s">
        <v>84</v>
      </c>
      <c r="D1" t="s">
        <v>85</v>
      </c>
      <c r="E1" t="s">
        <v>48</v>
      </c>
      <c r="F1" t="s">
        <v>7</v>
      </c>
      <c r="G1" t="s">
        <v>58</v>
      </c>
      <c r="H1" t="s">
        <v>9</v>
      </c>
    </row>
    <row r="2" spans="1:8" x14ac:dyDescent="0.2">
      <c r="A2" t="s">
        <v>11</v>
      </c>
      <c r="B2" t="s">
        <v>86</v>
      </c>
      <c r="C2">
        <v>10</v>
      </c>
      <c r="D2">
        <v>10</v>
      </c>
      <c r="E2">
        <v>15</v>
      </c>
      <c r="F2">
        <v>1383</v>
      </c>
      <c r="G2">
        <f>F3-F2</f>
        <v>155</v>
      </c>
      <c r="H2">
        <f>G2/F2</f>
        <v>0.11207519884309472</v>
      </c>
    </row>
    <row r="3" spans="1:8" x14ac:dyDescent="0.2">
      <c r="B3" t="s">
        <v>4</v>
      </c>
      <c r="C3">
        <v>10</v>
      </c>
      <c r="D3">
        <v>10</v>
      </c>
      <c r="E3">
        <v>15</v>
      </c>
      <c r="F3">
        <v>1538</v>
      </c>
    </row>
    <row r="4" spans="1:8" x14ac:dyDescent="0.2">
      <c r="A4" t="s">
        <v>12</v>
      </c>
      <c r="B4" t="s">
        <v>86</v>
      </c>
      <c r="C4">
        <v>10</v>
      </c>
      <c r="D4">
        <v>10</v>
      </c>
      <c r="E4">
        <v>15</v>
      </c>
      <c r="F4">
        <v>1556</v>
      </c>
      <c r="G4">
        <f>F5-F4</f>
        <v>63</v>
      </c>
      <c r="H4">
        <f>G4/F4</f>
        <v>4.0488431876606681E-2</v>
      </c>
    </row>
    <row r="5" spans="1:8" x14ac:dyDescent="0.2">
      <c r="B5" t="s">
        <v>4</v>
      </c>
      <c r="C5">
        <v>10</v>
      </c>
      <c r="D5">
        <v>10</v>
      </c>
      <c r="E5">
        <v>15</v>
      </c>
      <c r="F5">
        <v>1619</v>
      </c>
    </row>
    <row r="6" spans="1:8" x14ac:dyDescent="0.2">
      <c r="A6" t="s">
        <v>13</v>
      </c>
      <c r="B6" t="s">
        <v>86</v>
      </c>
      <c r="C6">
        <v>10</v>
      </c>
      <c r="D6">
        <v>10</v>
      </c>
      <c r="E6">
        <v>15</v>
      </c>
      <c r="F6">
        <v>1430</v>
      </c>
      <c r="G6">
        <f>F7-F6</f>
        <v>52</v>
      </c>
      <c r="H6">
        <f>G6/F6</f>
        <v>3.6363636363636362E-2</v>
      </c>
    </row>
    <row r="7" spans="1:8" x14ac:dyDescent="0.2">
      <c r="B7" t="s">
        <v>4</v>
      </c>
      <c r="C7">
        <v>10</v>
      </c>
      <c r="D7">
        <v>10</v>
      </c>
      <c r="E7">
        <v>15</v>
      </c>
      <c r="F7">
        <v>1482</v>
      </c>
    </row>
    <row r="8" spans="1:8" x14ac:dyDescent="0.2">
      <c r="A8" t="s">
        <v>14</v>
      </c>
      <c r="B8" t="s">
        <v>86</v>
      </c>
      <c r="C8">
        <v>10</v>
      </c>
      <c r="D8">
        <v>10</v>
      </c>
      <c r="E8">
        <v>15</v>
      </c>
      <c r="F8">
        <v>2118</v>
      </c>
      <c r="G8">
        <f>F9-F8</f>
        <v>96</v>
      </c>
      <c r="H8">
        <f>G8/F8</f>
        <v>4.5325779036827198E-2</v>
      </c>
    </row>
    <row r="9" spans="1:8" x14ac:dyDescent="0.2">
      <c r="B9" t="s">
        <v>4</v>
      </c>
      <c r="C9">
        <v>10</v>
      </c>
      <c r="D9">
        <v>10</v>
      </c>
      <c r="E9">
        <v>15</v>
      </c>
      <c r="F9">
        <v>2214</v>
      </c>
    </row>
    <row r="11" spans="1:8" x14ac:dyDescent="0.2">
      <c r="A11" t="s">
        <v>11</v>
      </c>
      <c r="B11" t="s">
        <v>86</v>
      </c>
      <c r="C11">
        <v>12</v>
      </c>
      <c r="D11">
        <v>15</v>
      </c>
      <c r="E11">
        <v>15</v>
      </c>
      <c r="F11">
        <v>2310</v>
      </c>
      <c r="G11">
        <f>F12-F11</f>
        <v>212</v>
      </c>
      <c r="H11">
        <f>G11/F11</f>
        <v>9.1774891774891773E-2</v>
      </c>
    </row>
    <row r="12" spans="1:8" x14ac:dyDescent="0.2">
      <c r="B12" t="s">
        <v>4</v>
      </c>
      <c r="C12">
        <v>12</v>
      </c>
      <c r="D12">
        <v>15</v>
      </c>
      <c r="E12">
        <v>15</v>
      </c>
      <c r="F12">
        <v>2522</v>
      </c>
    </row>
    <row r="13" spans="1:8" x14ac:dyDescent="0.2">
      <c r="A13" t="s">
        <v>12</v>
      </c>
      <c r="B13" t="s">
        <v>86</v>
      </c>
      <c r="C13">
        <v>12</v>
      </c>
      <c r="D13">
        <v>15</v>
      </c>
      <c r="E13">
        <v>15</v>
      </c>
      <c r="F13" s="5" t="s">
        <v>87</v>
      </c>
    </row>
    <row r="14" spans="1:8" x14ac:dyDescent="0.2">
      <c r="B14" t="s">
        <v>4</v>
      </c>
      <c r="C14">
        <v>12</v>
      </c>
      <c r="D14">
        <v>15</v>
      </c>
      <c r="E14">
        <v>15</v>
      </c>
      <c r="F14" s="5" t="s">
        <v>87</v>
      </c>
    </row>
    <row r="15" spans="1:8" x14ac:dyDescent="0.2">
      <c r="A15" t="s">
        <v>13</v>
      </c>
      <c r="B15" t="s">
        <v>86</v>
      </c>
      <c r="C15">
        <v>12</v>
      </c>
      <c r="D15">
        <v>15</v>
      </c>
      <c r="E15">
        <v>15</v>
      </c>
      <c r="F15">
        <v>2272</v>
      </c>
      <c r="G15">
        <f>F16-F15</f>
        <v>161</v>
      </c>
      <c r="H15">
        <f>G15/F15</f>
        <v>7.0862676056338031E-2</v>
      </c>
    </row>
    <row r="16" spans="1:8" x14ac:dyDescent="0.2">
      <c r="B16" t="s">
        <v>4</v>
      </c>
      <c r="C16">
        <v>12</v>
      </c>
      <c r="D16">
        <v>15</v>
      </c>
      <c r="E16">
        <v>15</v>
      </c>
      <c r="F16">
        <v>2433</v>
      </c>
    </row>
    <row r="17" spans="1:8" x14ac:dyDescent="0.2">
      <c r="A17" t="s">
        <v>14</v>
      </c>
      <c r="B17" t="s">
        <v>86</v>
      </c>
      <c r="C17">
        <v>12</v>
      </c>
      <c r="D17">
        <v>15</v>
      </c>
      <c r="E17">
        <v>15</v>
      </c>
      <c r="F17">
        <v>2855</v>
      </c>
      <c r="G17">
        <f>F18-F17</f>
        <v>300</v>
      </c>
      <c r="H17">
        <f>G17/F17</f>
        <v>0.10507880910683012</v>
      </c>
    </row>
    <row r="18" spans="1:8" x14ac:dyDescent="0.2">
      <c r="B18" t="s">
        <v>4</v>
      </c>
      <c r="C18">
        <v>12</v>
      </c>
      <c r="D18">
        <v>15</v>
      </c>
      <c r="E18">
        <v>15</v>
      </c>
      <c r="F18">
        <v>3155</v>
      </c>
    </row>
    <row r="20" spans="1:8" x14ac:dyDescent="0.2">
      <c r="A20" t="s">
        <v>0</v>
      </c>
      <c r="B20" t="s">
        <v>2</v>
      </c>
      <c r="C20" t="s">
        <v>84</v>
      </c>
      <c r="D20" t="s">
        <v>85</v>
      </c>
      <c r="E20" t="s">
        <v>88</v>
      </c>
      <c r="F20" t="s">
        <v>7</v>
      </c>
      <c r="G20" t="s">
        <v>58</v>
      </c>
      <c r="H20" t="s">
        <v>9</v>
      </c>
    </row>
    <row r="21" spans="1:8" x14ac:dyDescent="0.2">
      <c r="A21" t="s">
        <v>11</v>
      </c>
      <c r="B21" t="s">
        <v>86</v>
      </c>
      <c r="C21">
        <v>12</v>
      </c>
      <c r="D21">
        <v>15</v>
      </c>
      <c r="E21">
        <v>20</v>
      </c>
      <c r="F21">
        <v>2103</v>
      </c>
      <c r="G21">
        <f>F22-F21</f>
        <v>155</v>
      </c>
      <c r="H21">
        <f>G21/F21</f>
        <v>7.3704232049453158E-2</v>
      </c>
    </row>
    <row r="22" spans="1:8" x14ac:dyDescent="0.2">
      <c r="B22" t="s">
        <v>4</v>
      </c>
      <c r="C22">
        <v>12</v>
      </c>
      <c r="D22">
        <v>15</v>
      </c>
      <c r="E22">
        <v>20</v>
      </c>
      <c r="F22">
        <v>2258</v>
      </c>
    </row>
    <row r="23" spans="1:8" x14ac:dyDescent="0.2">
      <c r="B23" t="s">
        <v>86</v>
      </c>
      <c r="C23">
        <v>12</v>
      </c>
      <c r="D23">
        <v>15</v>
      </c>
      <c r="E23">
        <v>25</v>
      </c>
      <c r="F23">
        <v>2010</v>
      </c>
      <c r="G23">
        <f>F24-F23</f>
        <v>106</v>
      </c>
      <c r="H23">
        <f>G23/F23</f>
        <v>5.2736318407960198E-2</v>
      </c>
    </row>
    <row r="24" spans="1:8" x14ac:dyDescent="0.2">
      <c r="B24" t="s">
        <v>4</v>
      </c>
      <c r="C24">
        <v>12</v>
      </c>
      <c r="D24">
        <v>15</v>
      </c>
      <c r="E24">
        <v>25</v>
      </c>
      <c r="F24">
        <v>2116</v>
      </c>
    </row>
    <row r="25" spans="1:8" x14ac:dyDescent="0.2">
      <c r="B25" t="s">
        <v>86</v>
      </c>
      <c r="C25">
        <v>12</v>
      </c>
      <c r="D25">
        <v>15</v>
      </c>
      <c r="E25">
        <v>30</v>
      </c>
      <c r="F25">
        <v>1995</v>
      </c>
      <c r="G25">
        <f>F26-F25</f>
        <v>49</v>
      </c>
      <c r="H25">
        <f>G25/F25</f>
        <v>2.456140350877193E-2</v>
      </c>
    </row>
    <row r="26" spans="1:8" x14ac:dyDescent="0.2">
      <c r="B26" t="s">
        <v>4</v>
      </c>
      <c r="C26">
        <v>12</v>
      </c>
      <c r="D26">
        <v>15</v>
      </c>
      <c r="E26">
        <v>30</v>
      </c>
      <c r="F26">
        <v>2044</v>
      </c>
    </row>
    <row r="27" spans="1:8" x14ac:dyDescent="0.2">
      <c r="B27" t="s">
        <v>86</v>
      </c>
      <c r="C27">
        <v>12</v>
      </c>
      <c r="D27">
        <v>15</v>
      </c>
      <c r="E27">
        <v>35</v>
      </c>
      <c r="F27" s="1">
        <v>1990</v>
      </c>
      <c r="G27">
        <f>F28-F27</f>
        <v>0</v>
      </c>
      <c r="H27">
        <f>G27/F27</f>
        <v>0</v>
      </c>
    </row>
    <row r="28" spans="1:8" x14ac:dyDescent="0.2">
      <c r="B28" t="s">
        <v>4</v>
      </c>
      <c r="C28">
        <v>12</v>
      </c>
      <c r="D28">
        <v>15</v>
      </c>
      <c r="E28">
        <v>35</v>
      </c>
      <c r="F28" s="1">
        <v>1990</v>
      </c>
    </row>
    <row r="30" spans="1:8" x14ac:dyDescent="0.2">
      <c r="A30" t="s">
        <v>13</v>
      </c>
      <c r="B30" t="s">
        <v>86</v>
      </c>
      <c r="C30">
        <v>12</v>
      </c>
      <c r="D30">
        <v>15</v>
      </c>
      <c r="E30">
        <v>20</v>
      </c>
      <c r="F30">
        <v>2153</v>
      </c>
      <c r="G30">
        <f>F31-F30</f>
        <v>1</v>
      </c>
      <c r="H30">
        <f>G30/F30</f>
        <v>4.6446818392940084E-4</v>
      </c>
    </row>
    <row r="31" spans="1:8" x14ac:dyDescent="0.2">
      <c r="B31" t="s">
        <v>4</v>
      </c>
      <c r="C31">
        <v>12</v>
      </c>
      <c r="D31">
        <v>15</v>
      </c>
      <c r="E31">
        <v>20</v>
      </c>
      <c r="F31">
        <v>2154</v>
      </c>
    </row>
    <row r="32" spans="1:8" x14ac:dyDescent="0.2">
      <c r="B32" t="s">
        <v>86</v>
      </c>
      <c r="C32">
        <v>12</v>
      </c>
      <c r="D32">
        <v>15</v>
      </c>
      <c r="E32">
        <v>35</v>
      </c>
      <c r="F32" s="1">
        <v>2140</v>
      </c>
      <c r="G32">
        <f>F33-F32</f>
        <v>0</v>
      </c>
      <c r="H32">
        <f>G32/F32</f>
        <v>0</v>
      </c>
    </row>
    <row r="33" spans="1:8" x14ac:dyDescent="0.2">
      <c r="B33" t="s">
        <v>4</v>
      </c>
      <c r="C33">
        <v>12</v>
      </c>
      <c r="D33">
        <v>15</v>
      </c>
      <c r="E33">
        <v>35</v>
      </c>
      <c r="F33" s="1">
        <v>2140</v>
      </c>
    </row>
    <row r="35" spans="1:8" x14ac:dyDescent="0.2">
      <c r="B35" t="s">
        <v>86</v>
      </c>
      <c r="C35">
        <v>12</v>
      </c>
      <c r="D35">
        <v>15</v>
      </c>
      <c r="E35">
        <v>20</v>
      </c>
      <c r="F35">
        <v>2639</v>
      </c>
      <c r="G35">
        <f>F36-F35</f>
        <v>77</v>
      </c>
      <c r="H35">
        <f>G35/F35</f>
        <v>2.9177718832891247E-2</v>
      </c>
    </row>
    <row r="36" spans="1:8" x14ac:dyDescent="0.2">
      <c r="B36" t="s">
        <v>4</v>
      </c>
      <c r="C36">
        <v>12</v>
      </c>
      <c r="D36">
        <v>15</v>
      </c>
      <c r="E36">
        <v>20</v>
      </c>
      <c r="F36">
        <v>2716</v>
      </c>
    </row>
    <row r="37" spans="1:8" x14ac:dyDescent="0.2">
      <c r="A37" t="s">
        <v>14</v>
      </c>
      <c r="B37" t="s">
        <v>86</v>
      </c>
      <c r="C37">
        <v>12</v>
      </c>
      <c r="D37">
        <v>15</v>
      </c>
      <c r="E37">
        <v>35</v>
      </c>
      <c r="F37" s="1">
        <v>2550</v>
      </c>
      <c r="G37">
        <f>F38-F37</f>
        <v>0</v>
      </c>
      <c r="H37">
        <f>G37/F37</f>
        <v>0</v>
      </c>
    </row>
    <row r="38" spans="1:8" x14ac:dyDescent="0.2">
      <c r="B38" t="s">
        <v>4</v>
      </c>
      <c r="C38">
        <v>12</v>
      </c>
      <c r="D38">
        <v>15</v>
      </c>
      <c r="E38">
        <v>35</v>
      </c>
      <c r="F38" s="1">
        <v>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process-1</vt:lpstr>
      <vt:lpstr>process-2</vt:lpstr>
      <vt:lpstr>c101</vt:lpstr>
      <vt:lpstr>c201</vt:lpstr>
      <vt:lpstr>r101</vt:lpstr>
      <vt:lpstr>rc101</vt:lpstr>
      <vt:lpstr>Sheet4</vt:lpstr>
      <vt:lpstr>small_instances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2025-06-03T16:36:38Z</dcterms:created>
  <dcterms:modified xsi:type="dcterms:W3CDTF">2025-08-05T22:59:43Z</dcterms:modified>
</cp:coreProperties>
</file>