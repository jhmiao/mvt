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v3/outputs/weeks/"/>
    </mc:Choice>
  </mc:AlternateContent>
  <xr:revisionPtr revIDLastSave="0" documentId="13_ncr:1_{99EE8DAC-1C98-0D4F-A8CA-92CB4E51ECAE}" xr6:coauthVersionLast="47" xr6:coauthVersionMax="47" xr10:uidLastSave="{00000000-0000-0000-0000-000000000000}"/>
  <bookViews>
    <workbookView xWindow="-10540" yWindow="-28200" windowWidth="51200" windowHeight="28200" activeTab="3" xr2:uid="{BCC40B24-31D3-E642-B2EF-9125D48159BC}"/>
  </bookViews>
  <sheets>
    <sheet name="m0" sheetId="1" r:id="rId1"/>
    <sheet name="m1-lam1" sheetId="2" r:id="rId2"/>
    <sheet name="m2-lam1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7" i="4" s="1"/>
  <c r="D6" i="4"/>
  <c r="B6" i="4"/>
  <c r="C15" i="4"/>
  <c r="D15" i="4"/>
  <c r="B15" i="4"/>
  <c r="C14" i="4"/>
  <c r="D14" i="4"/>
  <c r="B14" i="4"/>
  <c r="C11" i="4"/>
  <c r="D11" i="4"/>
  <c r="B11" i="4"/>
  <c r="D10" i="4"/>
  <c r="C10" i="4"/>
  <c r="B10" i="4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P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F53" i="3"/>
  <c r="L53" i="3"/>
  <c r="I53" i="3"/>
  <c r="C53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L53" i="2"/>
  <c r="I53" i="2"/>
  <c r="F53" i="2"/>
  <c r="C53" i="2"/>
  <c r="O4" i="2"/>
  <c r="O3" i="2"/>
  <c r="O2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3" i="1"/>
  <c r="L54" i="1"/>
  <c r="I54" i="1"/>
  <c r="F54" i="1"/>
  <c r="C54" i="1"/>
  <c r="D7" i="4" l="1"/>
</calcChain>
</file>

<file path=xl/sharedStrings.xml><?xml version="1.0" encoding="utf-8"?>
<sst xmlns="http://schemas.openxmlformats.org/spreadsheetml/2006/main" count="64" uniqueCount="33">
  <si>
    <t>Index</t>
  </si>
  <si>
    <t>seed42</t>
  </si>
  <si>
    <t>seed44</t>
  </si>
  <si>
    <t>seed45</t>
  </si>
  <si>
    <t>travel cost</t>
  </si>
  <si>
    <t>leader count</t>
  </si>
  <si>
    <t>seed43</t>
  </si>
  <si>
    <t>OPT</t>
  </si>
  <si>
    <t>TL</t>
  </si>
  <si>
    <t>TL, gap 7.9</t>
  </si>
  <si>
    <t>TL, gap 8.9</t>
  </si>
  <si>
    <t>TL, gap 5.0</t>
  </si>
  <si>
    <t>TL, gap 5.4</t>
  </si>
  <si>
    <t>work hours</t>
  </si>
  <si>
    <t>travel</t>
  </si>
  <si>
    <t>M0</t>
  </si>
  <si>
    <t>M1</t>
  </si>
  <si>
    <t>M2</t>
  </si>
  <si>
    <t>work sum</t>
  </si>
  <si>
    <t xml:space="preserve">work hours </t>
  </si>
  <si>
    <t>max</t>
  </si>
  <si>
    <t>var</t>
  </si>
  <si>
    <t>leader</t>
  </si>
  <si>
    <t>total</t>
  </si>
  <si>
    <t>increase</t>
  </si>
  <si>
    <t>work sum m1</t>
  </si>
  <si>
    <t>work sum m2</t>
  </si>
  <si>
    <t>leader count m1</t>
  </si>
  <si>
    <t>leader count m2</t>
  </si>
  <si>
    <t>max (sum)</t>
  </si>
  <si>
    <t>mean</t>
  </si>
  <si>
    <t>sd</t>
  </si>
  <si>
    <t>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</si>
</sst>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DA11-E254-184E-8F77-34693B101263}">
  <dimension ref="A1:P54"/>
  <sheetViews>
    <sheetView zoomScale="69" workbookViewId="0">
      <selection activeCell="O1" sqref="O1:O1048576"/>
    </sheetView>
  </sheetViews>
  <sheetFormatPr baseColWidth="10" defaultRowHeight="16" x14ac:dyDescent="0.2"/>
  <sheetData>
    <row r="1" spans="1:16" x14ac:dyDescent="0.2">
      <c r="A1" s="2" t="s">
        <v>0</v>
      </c>
      <c r="B1" t="s">
        <v>13</v>
      </c>
      <c r="C1" t="s">
        <v>14</v>
      </c>
      <c r="D1" t="s">
        <v>5</v>
      </c>
      <c r="E1" t="s">
        <v>13</v>
      </c>
      <c r="F1" t="s">
        <v>14</v>
      </c>
      <c r="G1" t="s">
        <v>5</v>
      </c>
      <c r="H1" t="s">
        <v>13</v>
      </c>
      <c r="I1" t="s">
        <v>14</v>
      </c>
      <c r="J1" t="s">
        <v>5</v>
      </c>
      <c r="K1" t="s">
        <v>13</v>
      </c>
      <c r="L1" t="s">
        <v>14</v>
      </c>
      <c r="M1" t="s">
        <v>5</v>
      </c>
    </row>
    <row r="2" spans="1:16" x14ac:dyDescent="0.2">
      <c r="A2" s="3"/>
      <c r="B2" t="s">
        <v>1</v>
      </c>
      <c r="E2" t="s">
        <v>6</v>
      </c>
      <c r="H2" t="s">
        <v>2</v>
      </c>
      <c r="K2" t="s">
        <v>3</v>
      </c>
      <c r="O2" t="s">
        <v>5</v>
      </c>
      <c r="P2" t="s">
        <v>18</v>
      </c>
    </row>
    <row r="3" spans="1:16" x14ac:dyDescent="0.2">
      <c r="A3" s="1">
        <v>1</v>
      </c>
      <c r="B3">
        <v>6.5</v>
      </c>
      <c r="C3">
        <v>48</v>
      </c>
      <c r="D3">
        <v>0</v>
      </c>
      <c r="E3">
        <v>3</v>
      </c>
      <c r="F3">
        <v>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f>SUM(D3,G3,J3,M3)</f>
        <v>0</v>
      </c>
      <c r="P3">
        <f>SUM(B3,E3,H3,K3)</f>
        <v>9.5</v>
      </c>
    </row>
    <row r="4" spans="1:16" x14ac:dyDescent="0.2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f t="shared" ref="O4:O52" si="0">SUM(D4,G4,J4,M4)</f>
        <v>0</v>
      </c>
      <c r="P4">
        <f t="shared" ref="P4:P52" si="1">SUM(B4,E4,H4,K4)</f>
        <v>0</v>
      </c>
    </row>
    <row r="5" spans="1:16" x14ac:dyDescent="0.2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f t="shared" si="0"/>
        <v>0</v>
      </c>
      <c r="P5">
        <f t="shared" si="1"/>
        <v>0</v>
      </c>
    </row>
    <row r="6" spans="1:16" x14ac:dyDescent="0.2">
      <c r="A6" s="1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f t="shared" si="0"/>
        <v>0</v>
      </c>
      <c r="P6">
        <f t="shared" si="1"/>
        <v>0</v>
      </c>
    </row>
    <row r="7" spans="1:16" x14ac:dyDescent="0.2">
      <c r="A7" s="1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f t="shared" si="0"/>
        <v>0</v>
      </c>
      <c r="P7">
        <f t="shared" si="1"/>
        <v>0</v>
      </c>
    </row>
    <row r="8" spans="1:16" x14ac:dyDescent="0.2">
      <c r="A8" s="1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f t="shared" si="0"/>
        <v>0</v>
      </c>
      <c r="P8">
        <f t="shared" si="1"/>
        <v>0</v>
      </c>
    </row>
    <row r="9" spans="1:16" x14ac:dyDescent="0.2">
      <c r="A9" s="1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f t="shared" si="0"/>
        <v>0</v>
      </c>
      <c r="P9">
        <f t="shared" si="1"/>
        <v>0</v>
      </c>
    </row>
    <row r="10" spans="1:16" x14ac:dyDescent="0.2">
      <c r="A10" s="1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f t="shared" si="0"/>
        <v>0</v>
      </c>
      <c r="P10">
        <f t="shared" si="1"/>
        <v>0</v>
      </c>
    </row>
    <row r="11" spans="1:16" x14ac:dyDescent="0.2">
      <c r="A11" s="1">
        <v>21</v>
      </c>
      <c r="B11">
        <v>9</v>
      </c>
      <c r="C11">
        <v>142</v>
      </c>
      <c r="D11">
        <v>3</v>
      </c>
      <c r="E11">
        <v>22.5</v>
      </c>
      <c r="F11">
        <v>242</v>
      </c>
      <c r="G11">
        <v>6</v>
      </c>
      <c r="H11">
        <v>14</v>
      </c>
      <c r="I11">
        <v>238</v>
      </c>
      <c r="J11">
        <v>5</v>
      </c>
      <c r="K11">
        <v>5</v>
      </c>
      <c r="L11">
        <v>194</v>
      </c>
      <c r="M11">
        <v>3</v>
      </c>
      <c r="O11">
        <f t="shared" si="0"/>
        <v>17</v>
      </c>
      <c r="P11">
        <f t="shared" si="1"/>
        <v>50.5</v>
      </c>
    </row>
    <row r="12" spans="1:16" x14ac:dyDescent="0.2">
      <c r="A12" s="1">
        <v>22</v>
      </c>
      <c r="B12">
        <v>6</v>
      </c>
      <c r="C12">
        <v>105</v>
      </c>
      <c r="D12">
        <v>2</v>
      </c>
      <c r="E12">
        <v>14.5</v>
      </c>
      <c r="F12">
        <v>250</v>
      </c>
      <c r="G12">
        <v>2</v>
      </c>
      <c r="H12">
        <v>5</v>
      </c>
      <c r="I12">
        <v>36</v>
      </c>
      <c r="J12">
        <v>0</v>
      </c>
      <c r="K12">
        <v>4.5</v>
      </c>
      <c r="L12">
        <v>116</v>
      </c>
      <c r="M12">
        <v>2</v>
      </c>
      <c r="O12">
        <f t="shared" si="0"/>
        <v>6</v>
      </c>
      <c r="P12">
        <f t="shared" si="1"/>
        <v>30</v>
      </c>
    </row>
    <row r="13" spans="1:16" x14ac:dyDescent="0.2">
      <c r="A13" s="1">
        <v>25</v>
      </c>
      <c r="B13">
        <v>0</v>
      </c>
      <c r="C13">
        <v>0</v>
      </c>
      <c r="D13">
        <v>0</v>
      </c>
      <c r="E13">
        <v>4.5</v>
      </c>
      <c r="F13">
        <v>52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f t="shared" si="0"/>
        <v>0</v>
      </c>
      <c r="P13">
        <f t="shared" si="1"/>
        <v>4.5</v>
      </c>
    </row>
    <row r="14" spans="1:16" x14ac:dyDescent="0.2">
      <c r="A14" s="1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f t="shared" si="0"/>
        <v>0</v>
      </c>
      <c r="P14">
        <f t="shared" si="1"/>
        <v>0</v>
      </c>
    </row>
    <row r="15" spans="1:16" x14ac:dyDescent="0.2">
      <c r="A15" s="1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f t="shared" si="0"/>
        <v>0</v>
      </c>
      <c r="P15">
        <f t="shared" si="1"/>
        <v>0</v>
      </c>
    </row>
    <row r="16" spans="1:16" x14ac:dyDescent="0.2">
      <c r="A16" s="1">
        <v>33</v>
      </c>
      <c r="B16">
        <v>0</v>
      </c>
      <c r="C16">
        <v>0</v>
      </c>
      <c r="D16">
        <v>0</v>
      </c>
      <c r="E16">
        <v>6</v>
      </c>
      <c r="F16">
        <v>30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f t="shared" si="0"/>
        <v>0</v>
      </c>
      <c r="P16">
        <f t="shared" si="1"/>
        <v>6</v>
      </c>
    </row>
    <row r="17" spans="1:16" x14ac:dyDescent="0.2">
      <c r="A17" s="1">
        <v>35</v>
      </c>
      <c r="B17">
        <v>0</v>
      </c>
      <c r="C17">
        <v>0</v>
      </c>
      <c r="D17">
        <v>0</v>
      </c>
      <c r="E17">
        <v>6</v>
      </c>
      <c r="F17">
        <v>34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f t="shared" si="0"/>
        <v>0</v>
      </c>
      <c r="P17">
        <f t="shared" si="1"/>
        <v>6</v>
      </c>
    </row>
    <row r="18" spans="1:16" x14ac:dyDescent="0.2">
      <c r="A18" s="1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f t="shared" si="0"/>
        <v>0</v>
      </c>
      <c r="P18">
        <f t="shared" si="1"/>
        <v>0</v>
      </c>
    </row>
    <row r="19" spans="1:16" x14ac:dyDescent="0.2">
      <c r="A19" s="1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f t="shared" si="0"/>
        <v>0</v>
      </c>
      <c r="P19">
        <f t="shared" si="1"/>
        <v>0</v>
      </c>
    </row>
    <row r="20" spans="1:16" x14ac:dyDescent="0.2">
      <c r="A20" s="1">
        <v>44</v>
      </c>
      <c r="B20">
        <v>10.5</v>
      </c>
      <c r="C20">
        <v>58</v>
      </c>
      <c r="D20">
        <v>0</v>
      </c>
      <c r="E20">
        <v>13</v>
      </c>
      <c r="F20">
        <v>84</v>
      </c>
      <c r="G20">
        <v>0</v>
      </c>
      <c r="H20">
        <v>19.5</v>
      </c>
      <c r="I20">
        <v>87</v>
      </c>
      <c r="J20">
        <v>0</v>
      </c>
      <c r="K20">
        <v>5.5</v>
      </c>
      <c r="L20">
        <v>54</v>
      </c>
      <c r="M20">
        <v>0</v>
      </c>
      <c r="O20">
        <f t="shared" si="0"/>
        <v>0</v>
      </c>
      <c r="P20">
        <f t="shared" si="1"/>
        <v>48.5</v>
      </c>
    </row>
    <row r="21" spans="1:16" x14ac:dyDescent="0.2">
      <c r="A21" s="1">
        <v>47</v>
      </c>
      <c r="B21">
        <v>17</v>
      </c>
      <c r="C21">
        <v>106</v>
      </c>
      <c r="D21">
        <v>0</v>
      </c>
      <c r="E21">
        <v>14</v>
      </c>
      <c r="F21">
        <v>54</v>
      </c>
      <c r="G21">
        <v>0</v>
      </c>
      <c r="H21">
        <v>16.5</v>
      </c>
      <c r="I21">
        <v>115</v>
      </c>
      <c r="J21">
        <v>0</v>
      </c>
      <c r="K21">
        <v>7</v>
      </c>
      <c r="L21">
        <v>43</v>
      </c>
      <c r="M21">
        <v>0</v>
      </c>
      <c r="O21">
        <f t="shared" si="0"/>
        <v>0</v>
      </c>
      <c r="P21">
        <f t="shared" si="1"/>
        <v>54.5</v>
      </c>
    </row>
    <row r="22" spans="1:16" x14ac:dyDescent="0.2">
      <c r="A22" s="1">
        <v>49</v>
      </c>
      <c r="B22">
        <v>10</v>
      </c>
      <c r="C22">
        <v>16</v>
      </c>
      <c r="D22">
        <v>0</v>
      </c>
      <c r="E22">
        <v>12.5</v>
      </c>
      <c r="F22">
        <v>64</v>
      </c>
      <c r="G22">
        <v>0</v>
      </c>
      <c r="H22">
        <v>12</v>
      </c>
      <c r="I22">
        <v>30</v>
      </c>
      <c r="J22">
        <v>0</v>
      </c>
      <c r="K22">
        <v>8</v>
      </c>
      <c r="L22">
        <v>23</v>
      </c>
      <c r="M22">
        <v>0</v>
      </c>
      <c r="O22">
        <f t="shared" si="0"/>
        <v>0</v>
      </c>
      <c r="P22">
        <f t="shared" si="1"/>
        <v>42.5</v>
      </c>
    </row>
    <row r="23" spans="1:16" x14ac:dyDescent="0.2">
      <c r="A23" s="1">
        <v>56</v>
      </c>
      <c r="B23">
        <v>2</v>
      </c>
      <c r="C23">
        <v>10</v>
      </c>
      <c r="D23">
        <v>0</v>
      </c>
      <c r="E23">
        <v>10</v>
      </c>
      <c r="F23">
        <v>36</v>
      </c>
      <c r="G23">
        <v>0</v>
      </c>
      <c r="H23">
        <v>6</v>
      </c>
      <c r="I23">
        <v>28</v>
      </c>
      <c r="J23">
        <v>0</v>
      </c>
      <c r="K23">
        <v>2.5</v>
      </c>
      <c r="L23">
        <v>34</v>
      </c>
      <c r="M23">
        <v>0</v>
      </c>
      <c r="O23">
        <f t="shared" si="0"/>
        <v>0</v>
      </c>
      <c r="P23">
        <f t="shared" si="1"/>
        <v>20.5</v>
      </c>
    </row>
    <row r="24" spans="1:16" x14ac:dyDescent="0.2">
      <c r="A24" s="1">
        <v>58</v>
      </c>
      <c r="B24">
        <v>5</v>
      </c>
      <c r="C24">
        <v>21</v>
      </c>
      <c r="D24">
        <v>0</v>
      </c>
      <c r="E24">
        <v>14.5</v>
      </c>
      <c r="F24">
        <v>80</v>
      </c>
      <c r="G24">
        <v>0</v>
      </c>
      <c r="H24">
        <v>6</v>
      </c>
      <c r="I24">
        <v>28</v>
      </c>
      <c r="J24">
        <v>0</v>
      </c>
      <c r="K24">
        <v>2.5</v>
      </c>
      <c r="L24">
        <v>38</v>
      </c>
      <c r="M24">
        <v>0</v>
      </c>
      <c r="O24">
        <f t="shared" si="0"/>
        <v>0</v>
      </c>
      <c r="P24">
        <f t="shared" si="1"/>
        <v>28</v>
      </c>
    </row>
    <row r="25" spans="1:16" x14ac:dyDescent="0.2">
      <c r="A25" s="1">
        <v>60</v>
      </c>
      <c r="B25">
        <v>5</v>
      </c>
      <c r="C25">
        <v>24</v>
      </c>
      <c r="D25">
        <v>0</v>
      </c>
      <c r="E25">
        <v>10</v>
      </c>
      <c r="F25">
        <v>62</v>
      </c>
      <c r="G25">
        <v>0</v>
      </c>
      <c r="H25">
        <v>6</v>
      </c>
      <c r="I25">
        <v>30</v>
      </c>
      <c r="J25">
        <v>0</v>
      </c>
      <c r="K25">
        <v>0</v>
      </c>
      <c r="L25">
        <v>0</v>
      </c>
      <c r="M25">
        <v>0</v>
      </c>
      <c r="O25">
        <f t="shared" si="0"/>
        <v>0</v>
      </c>
      <c r="P25">
        <f t="shared" si="1"/>
        <v>21</v>
      </c>
    </row>
    <row r="26" spans="1:16" x14ac:dyDescent="0.2">
      <c r="A26" s="1">
        <v>61</v>
      </c>
      <c r="B26">
        <v>4</v>
      </c>
      <c r="C26">
        <v>4</v>
      </c>
      <c r="D26">
        <v>0</v>
      </c>
      <c r="E26">
        <v>7.5</v>
      </c>
      <c r="F26">
        <v>50</v>
      </c>
      <c r="G26">
        <v>0</v>
      </c>
      <c r="H26">
        <v>15</v>
      </c>
      <c r="I26">
        <v>110</v>
      </c>
      <c r="J26">
        <v>0</v>
      </c>
      <c r="K26">
        <v>1</v>
      </c>
      <c r="L26">
        <v>16</v>
      </c>
      <c r="M26">
        <v>0</v>
      </c>
      <c r="O26">
        <f t="shared" si="0"/>
        <v>0</v>
      </c>
      <c r="P26">
        <f t="shared" si="1"/>
        <v>27.5</v>
      </c>
    </row>
    <row r="27" spans="1:16" x14ac:dyDescent="0.2">
      <c r="A27" s="1">
        <v>62</v>
      </c>
      <c r="B27">
        <v>7</v>
      </c>
      <c r="C27">
        <v>44</v>
      </c>
      <c r="D27">
        <v>0</v>
      </c>
      <c r="E27">
        <v>10</v>
      </c>
      <c r="F27">
        <v>58</v>
      </c>
      <c r="G27">
        <v>0</v>
      </c>
      <c r="H27">
        <v>7</v>
      </c>
      <c r="I27">
        <v>32</v>
      </c>
      <c r="J27">
        <v>0</v>
      </c>
      <c r="K27">
        <v>0</v>
      </c>
      <c r="L27">
        <v>0</v>
      </c>
      <c r="M27">
        <v>0</v>
      </c>
      <c r="O27">
        <f t="shared" si="0"/>
        <v>0</v>
      </c>
      <c r="P27">
        <f t="shared" si="1"/>
        <v>24</v>
      </c>
    </row>
    <row r="28" spans="1:16" x14ac:dyDescent="0.2">
      <c r="A28" s="1">
        <v>63</v>
      </c>
      <c r="B28">
        <v>7.5</v>
      </c>
      <c r="C28">
        <v>76</v>
      </c>
      <c r="D28">
        <v>1</v>
      </c>
      <c r="E28">
        <v>6</v>
      </c>
      <c r="F28">
        <v>56</v>
      </c>
      <c r="G28">
        <v>0</v>
      </c>
      <c r="H28">
        <v>5</v>
      </c>
      <c r="I28">
        <v>48</v>
      </c>
      <c r="J28">
        <v>0</v>
      </c>
      <c r="K28">
        <v>1</v>
      </c>
      <c r="L28">
        <v>12</v>
      </c>
      <c r="M28">
        <v>0</v>
      </c>
      <c r="O28">
        <f t="shared" si="0"/>
        <v>1</v>
      </c>
      <c r="P28">
        <f t="shared" si="1"/>
        <v>19.5</v>
      </c>
    </row>
    <row r="29" spans="1:16" x14ac:dyDescent="0.2">
      <c r="A29" s="1">
        <v>65</v>
      </c>
      <c r="B29">
        <v>12.5</v>
      </c>
      <c r="C29">
        <v>228</v>
      </c>
      <c r="D29">
        <v>4</v>
      </c>
      <c r="E29">
        <v>15.5</v>
      </c>
      <c r="F29">
        <v>120</v>
      </c>
      <c r="G29">
        <v>1</v>
      </c>
      <c r="H29">
        <v>21</v>
      </c>
      <c r="I29">
        <v>254</v>
      </c>
      <c r="J29">
        <v>5</v>
      </c>
      <c r="K29">
        <v>13.5</v>
      </c>
      <c r="L29">
        <v>238</v>
      </c>
      <c r="M29">
        <v>5</v>
      </c>
      <c r="O29">
        <f t="shared" si="0"/>
        <v>15</v>
      </c>
      <c r="P29">
        <f t="shared" si="1"/>
        <v>62.5</v>
      </c>
    </row>
    <row r="30" spans="1:16" x14ac:dyDescent="0.2">
      <c r="A30" s="1">
        <v>66</v>
      </c>
      <c r="B30">
        <v>3</v>
      </c>
      <c r="C30">
        <v>28</v>
      </c>
      <c r="D30">
        <v>0</v>
      </c>
      <c r="E30">
        <v>6</v>
      </c>
      <c r="F30">
        <v>50</v>
      </c>
      <c r="G30">
        <v>0</v>
      </c>
      <c r="H30">
        <v>9</v>
      </c>
      <c r="I30">
        <v>68</v>
      </c>
      <c r="J30">
        <v>0</v>
      </c>
      <c r="K30">
        <v>0</v>
      </c>
      <c r="L30">
        <v>0</v>
      </c>
      <c r="M30">
        <v>0</v>
      </c>
      <c r="O30">
        <f t="shared" si="0"/>
        <v>0</v>
      </c>
      <c r="P30">
        <f t="shared" si="1"/>
        <v>18</v>
      </c>
    </row>
    <row r="31" spans="1:16" x14ac:dyDescent="0.2">
      <c r="A31" s="1">
        <v>68</v>
      </c>
      <c r="B31">
        <v>9</v>
      </c>
      <c r="C31">
        <v>50</v>
      </c>
      <c r="D31">
        <v>0</v>
      </c>
      <c r="E31">
        <v>7</v>
      </c>
      <c r="F31">
        <v>48</v>
      </c>
      <c r="G31">
        <v>0</v>
      </c>
      <c r="H31">
        <v>16.5</v>
      </c>
      <c r="I31">
        <v>90</v>
      </c>
      <c r="J31">
        <v>0</v>
      </c>
      <c r="K31">
        <v>9</v>
      </c>
      <c r="L31">
        <v>91</v>
      </c>
      <c r="M31">
        <v>0</v>
      </c>
      <c r="O31">
        <f t="shared" si="0"/>
        <v>0</v>
      </c>
      <c r="P31">
        <f t="shared" si="1"/>
        <v>41.5</v>
      </c>
    </row>
    <row r="32" spans="1:16" x14ac:dyDescent="0.2">
      <c r="A32" s="1">
        <v>69</v>
      </c>
      <c r="B32">
        <v>9.5</v>
      </c>
      <c r="C32">
        <v>107</v>
      </c>
      <c r="D32">
        <v>0</v>
      </c>
      <c r="E32">
        <v>12</v>
      </c>
      <c r="F32">
        <v>81</v>
      </c>
      <c r="G32">
        <v>0</v>
      </c>
      <c r="H32">
        <v>12</v>
      </c>
      <c r="I32">
        <v>94</v>
      </c>
      <c r="J32">
        <v>0</v>
      </c>
      <c r="K32">
        <v>9</v>
      </c>
      <c r="L32">
        <v>99</v>
      </c>
      <c r="M32">
        <v>0</v>
      </c>
      <c r="O32">
        <f t="shared" si="0"/>
        <v>0</v>
      </c>
      <c r="P32">
        <f t="shared" si="1"/>
        <v>42.5</v>
      </c>
    </row>
    <row r="33" spans="1:16" x14ac:dyDescent="0.2">
      <c r="A33" s="1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f t="shared" si="0"/>
        <v>0</v>
      </c>
      <c r="P33">
        <f t="shared" si="1"/>
        <v>0</v>
      </c>
    </row>
    <row r="34" spans="1:16" x14ac:dyDescent="0.2">
      <c r="A34" s="1">
        <v>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f t="shared" si="0"/>
        <v>0</v>
      </c>
      <c r="P34">
        <f t="shared" si="1"/>
        <v>0</v>
      </c>
    </row>
    <row r="35" spans="1:16" x14ac:dyDescent="0.2">
      <c r="A35" s="1">
        <v>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O35">
        <f t="shared" si="0"/>
        <v>0</v>
      </c>
      <c r="P35">
        <f t="shared" si="1"/>
        <v>0</v>
      </c>
    </row>
    <row r="36" spans="1:16" x14ac:dyDescent="0.2">
      <c r="A36" s="1">
        <v>75</v>
      </c>
      <c r="B36">
        <v>0</v>
      </c>
      <c r="C36">
        <v>0</v>
      </c>
      <c r="D36">
        <v>0</v>
      </c>
      <c r="E36">
        <v>6</v>
      </c>
      <c r="F36">
        <v>78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f t="shared" si="0"/>
        <v>1</v>
      </c>
      <c r="P36">
        <f t="shared" si="1"/>
        <v>6</v>
      </c>
    </row>
    <row r="37" spans="1:16" x14ac:dyDescent="0.2">
      <c r="A37" s="1">
        <v>76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f t="shared" si="0"/>
        <v>0</v>
      </c>
      <c r="P37">
        <f t="shared" si="1"/>
        <v>0</v>
      </c>
    </row>
    <row r="38" spans="1:16" x14ac:dyDescent="0.2">
      <c r="A38" s="1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f t="shared" si="0"/>
        <v>0</v>
      </c>
      <c r="P38">
        <f t="shared" si="1"/>
        <v>0</v>
      </c>
    </row>
    <row r="39" spans="1:16" x14ac:dyDescent="0.2">
      <c r="A39" s="1">
        <v>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f t="shared" si="0"/>
        <v>0</v>
      </c>
      <c r="P39">
        <f t="shared" si="1"/>
        <v>0</v>
      </c>
    </row>
    <row r="40" spans="1:16" x14ac:dyDescent="0.2">
      <c r="A40" s="1">
        <v>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f t="shared" si="0"/>
        <v>0</v>
      </c>
      <c r="P40">
        <f t="shared" si="1"/>
        <v>0</v>
      </c>
    </row>
    <row r="41" spans="1:16" x14ac:dyDescent="0.2">
      <c r="A41" s="1">
        <v>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f t="shared" si="0"/>
        <v>0</v>
      </c>
      <c r="P41">
        <f t="shared" si="1"/>
        <v>0</v>
      </c>
    </row>
    <row r="42" spans="1:16" x14ac:dyDescent="0.2">
      <c r="A42" s="1">
        <v>82</v>
      </c>
      <c r="B42">
        <v>6.5</v>
      </c>
      <c r="C42">
        <v>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12</v>
      </c>
      <c r="M42">
        <v>0</v>
      </c>
      <c r="O42">
        <f t="shared" si="0"/>
        <v>0</v>
      </c>
      <c r="P42">
        <f t="shared" si="1"/>
        <v>9.5</v>
      </c>
    </row>
    <row r="43" spans="1:16" x14ac:dyDescent="0.2">
      <c r="A43" s="1">
        <v>86</v>
      </c>
      <c r="B43">
        <v>6.5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20</v>
      </c>
      <c r="M43">
        <v>0</v>
      </c>
      <c r="O43">
        <f t="shared" si="0"/>
        <v>0</v>
      </c>
      <c r="P43">
        <f t="shared" si="1"/>
        <v>9.5</v>
      </c>
    </row>
    <row r="44" spans="1:16" x14ac:dyDescent="0.2">
      <c r="A44" s="1">
        <v>90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4</v>
      </c>
      <c r="J44">
        <v>0</v>
      </c>
      <c r="K44">
        <v>0</v>
      </c>
      <c r="L44">
        <v>0</v>
      </c>
      <c r="M44">
        <v>0</v>
      </c>
      <c r="O44">
        <f t="shared" si="0"/>
        <v>0</v>
      </c>
      <c r="P44">
        <f t="shared" si="1"/>
        <v>1</v>
      </c>
    </row>
    <row r="45" spans="1:16" x14ac:dyDescent="0.2">
      <c r="A45" s="1">
        <v>91</v>
      </c>
      <c r="B45">
        <v>6.5</v>
      </c>
      <c r="C45">
        <v>16</v>
      </c>
      <c r="D45">
        <v>0</v>
      </c>
      <c r="E45">
        <v>3</v>
      </c>
      <c r="F45">
        <v>12</v>
      </c>
      <c r="G45">
        <v>0</v>
      </c>
      <c r="H45">
        <v>1</v>
      </c>
      <c r="I45">
        <v>6</v>
      </c>
      <c r="J45">
        <v>0</v>
      </c>
      <c r="K45">
        <v>0</v>
      </c>
      <c r="L45">
        <v>0</v>
      </c>
      <c r="M45">
        <v>0</v>
      </c>
      <c r="O45">
        <f t="shared" si="0"/>
        <v>0</v>
      </c>
      <c r="P45">
        <f t="shared" si="1"/>
        <v>10.5</v>
      </c>
    </row>
    <row r="46" spans="1:16" x14ac:dyDescent="0.2">
      <c r="A46" s="1">
        <v>92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f t="shared" si="0"/>
        <v>0</v>
      </c>
      <c r="P46">
        <f t="shared" si="1"/>
        <v>0</v>
      </c>
    </row>
    <row r="47" spans="1:16" x14ac:dyDescent="0.2">
      <c r="A47" s="1">
        <v>93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f t="shared" si="0"/>
        <v>0</v>
      </c>
      <c r="P47">
        <f t="shared" si="1"/>
        <v>0</v>
      </c>
    </row>
    <row r="48" spans="1:16" x14ac:dyDescent="0.2">
      <c r="A48" s="1">
        <v>94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f t="shared" si="0"/>
        <v>0</v>
      </c>
      <c r="P48">
        <f t="shared" si="1"/>
        <v>0</v>
      </c>
    </row>
    <row r="49" spans="1:16" x14ac:dyDescent="0.2">
      <c r="A49" s="1">
        <v>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f t="shared" si="0"/>
        <v>0</v>
      </c>
      <c r="P49">
        <f t="shared" si="1"/>
        <v>0</v>
      </c>
    </row>
    <row r="50" spans="1:16" x14ac:dyDescent="0.2">
      <c r="A50" s="1">
        <v>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f t="shared" si="0"/>
        <v>0</v>
      </c>
      <c r="P50">
        <f t="shared" si="1"/>
        <v>0</v>
      </c>
    </row>
    <row r="51" spans="1:16" x14ac:dyDescent="0.2">
      <c r="A51" s="1">
        <v>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f t="shared" si="0"/>
        <v>0</v>
      </c>
      <c r="P51">
        <f t="shared" si="1"/>
        <v>0</v>
      </c>
    </row>
    <row r="52" spans="1:16" x14ac:dyDescent="0.2">
      <c r="A52" s="1">
        <v>100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f t="shared" si="0"/>
        <v>0</v>
      </c>
      <c r="P52">
        <f t="shared" si="1"/>
        <v>0</v>
      </c>
    </row>
    <row r="54" spans="1:16" x14ac:dyDescent="0.2">
      <c r="A54" t="s">
        <v>4</v>
      </c>
      <c r="C54">
        <f>SUM(C3:C52)</f>
        <v>1109</v>
      </c>
      <c r="F54">
        <f>SUM(F3:F52)</f>
        <v>1561</v>
      </c>
      <c r="I54">
        <f>SUM(I3:I52)</f>
        <v>1298</v>
      </c>
      <c r="L54">
        <f>SUM(L3:L52)</f>
        <v>990</v>
      </c>
    </row>
  </sheetData>
  <mergeCells count="1"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5BE7-2823-1444-BDBE-11B76A4E5112}">
  <dimension ref="A1:P54"/>
  <sheetViews>
    <sheetView workbookViewId="0">
      <selection activeCell="O1" sqref="O1:O1048576"/>
    </sheetView>
  </sheetViews>
  <sheetFormatPr baseColWidth="10" defaultRowHeight="16" x14ac:dyDescent="0.2"/>
  <sheetData>
    <row r="1" spans="1:16" x14ac:dyDescent="0.2">
      <c r="A1" s="1" t="s">
        <v>0</v>
      </c>
      <c r="B1" t="s">
        <v>1</v>
      </c>
      <c r="E1" t="s">
        <v>6</v>
      </c>
      <c r="H1" t="s">
        <v>2</v>
      </c>
      <c r="K1" t="s">
        <v>3</v>
      </c>
      <c r="O1" t="s">
        <v>5</v>
      </c>
      <c r="P1" t="s">
        <v>18</v>
      </c>
    </row>
    <row r="2" spans="1:16" x14ac:dyDescent="0.2">
      <c r="A2" s="1">
        <v>1</v>
      </c>
      <c r="B2">
        <v>6.5</v>
      </c>
      <c r="C2">
        <v>48</v>
      </c>
      <c r="D2">
        <v>0</v>
      </c>
      <c r="E2">
        <v>3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f>SUM(D2,G2,J2,M2)</f>
        <v>0</v>
      </c>
      <c r="P2">
        <f>SUM(B2,E2,H2,K2)</f>
        <v>9.5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>
        <f t="shared" ref="O3:O51" si="0">SUM(D3,G3,J3,M3)</f>
        <v>0</v>
      </c>
      <c r="P3">
        <f t="shared" ref="P3:P51" si="1">SUM(B3,E3,H3,K3)</f>
        <v>0</v>
      </c>
    </row>
    <row r="4" spans="1:16" x14ac:dyDescent="0.2">
      <c r="A4" s="1">
        <v>3</v>
      </c>
      <c r="B4">
        <v>6</v>
      </c>
      <c r="C4">
        <v>113</v>
      </c>
      <c r="D4">
        <v>1</v>
      </c>
      <c r="E4">
        <v>7</v>
      </c>
      <c r="F4">
        <v>85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f t="shared" si="0"/>
        <v>3</v>
      </c>
      <c r="P4">
        <f t="shared" si="1"/>
        <v>13</v>
      </c>
    </row>
    <row r="5" spans="1:16" x14ac:dyDescent="0.2">
      <c r="A5" s="1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f t="shared" si="0"/>
        <v>0</v>
      </c>
      <c r="P5">
        <f t="shared" si="1"/>
        <v>0</v>
      </c>
    </row>
    <row r="6" spans="1:16" x14ac:dyDescent="0.2">
      <c r="A6" s="1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f t="shared" si="0"/>
        <v>0</v>
      </c>
      <c r="P6">
        <f t="shared" si="1"/>
        <v>0</v>
      </c>
    </row>
    <row r="7" spans="1:16" x14ac:dyDescent="0.2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f t="shared" si="0"/>
        <v>0</v>
      </c>
      <c r="P7">
        <f t="shared" si="1"/>
        <v>0</v>
      </c>
    </row>
    <row r="8" spans="1:16" x14ac:dyDescent="0.2">
      <c r="A8" s="1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f t="shared" si="0"/>
        <v>0</v>
      </c>
      <c r="P8">
        <f t="shared" si="1"/>
        <v>0</v>
      </c>
    </row>
    <row r="9" spans="1:16" x14ac:dyDescent="0.2">
      <c r="A9" s="1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f t="shared" si="0"/>
        <v>0</v>
      </c>
      <c r="P9">
        <f t="shared" si="1"/>
        <v>0</v>
      </c>
    </row>
    <row r="10" spans="1:16" x14ac:dyDescent="0.2">
      <c r="A10" s="1">
        <v>21</v>
      </c>
      <c r="B10">
        <v>5.5</v>
      </c>
      <c r="C10">
        <v>122</v>
      </c>
      <c r="D10">
        <v>3</v>
      </c>
      <c r="E10">
        <v>10</v>
      </c>
      <c r="F10">
        <v>181</v>
      </c>
      <c r="G10">
        <v>3</v>
      </c>
      <c r="H10">
        <v>8</v>
      </c>
      <c r="I10">
        <v>134</v>
      </c>
      <c r="J10">
        <v>3</v>
      </c>
      <c r="K10">
        <v>5</v>
      </c>
      <c r="L10">
        <v>194</v>
      </c>
      <c r="M10">
        <v>3</v>
      </c>
      <c r="O10">
        <f t="shared" si="0"/>
        <v>12</v>
      </c>
      <c r="P10">
        <f t="shared" si="1"/>
        <v>28.5</v>
      </c>
    </row>
    <row r="11" spans="1:16" x14ac:dyDescent="0.2">
      <c r="A11" s="1">
        <v>22</v>
      </c>
      <c r="B11">
        <v>6.5</v>
      </c>
      <c r="C11">
        <v>108</v>
      </c>
      <c r="D11">
        <v>3</v>
      </c>
      <c r="E11">
        <v>10</v>
      </c>
      <c r="F11">
        <v>96</v>
      </c>
      <c r="G11">
        <v>2</v>
      </c>
      <c r="H11">
        <v>12</v>
      </c>
      <c r="I11">
        <v>154</v>
      </c>
      <c r="J11">
        <v>4</v>
      </c>
      <c r="K11">
        <v>4.5</v>
      </c>
      <c r="L11">
        <v>94</v>
      </c>
      <c r="M11">
        <v>2</v>
      </c>
      <c r="O11">
        <f t="shared" si="0"/>
        <v>11</v>
      </c>
      <c r="P11">
        <f t="shared" si="1"/>
        <v>33</v>
      </c>
    </row>
    <row r="12" spans="1:16" x14ac:dyDescent="0.2">
      <c r="A12" s="1">
        <v>25</v>
      </c>
      <c r="B12">
        <v>7</v>
      </c>
      <c r="C12">
        <v>34</v>
      </c>
      <c r="D12">
        <v>0</v>
      </c>
      <c r="E12">
        <v>9.5</v>
      </c>
      <c r="F12">
        <v>64</v>
      </c>
      <c r="G12">
        <v>0</v>
      </c>
      <c r="H12">
        <v>11</v>
      </c>
      <c r="I12">
        <v>150</v>
      </c>
      <c r="J12">
        <v>2</v>
      </c>
      <c r="K12">
        <v>4.5</v>
      </c>
      <c r="L12">
        <v>122</v>
      </c>
      <c r="M12">
        <v>2</v>
      </c>
      <c r="O12">
        <f t="shared" si="0"/>
        <v>4</v>
      </c>
      <c r="P12">
        <f t="shared" si="1"/>
        <v>32</v>
      </c>
    </row>
    <row r="13" spans="1:16" x14ac:dyDescent="0.2">
      <c r="A13" s="1">
        <v>28</v>
      </c>
      <c r="B13">
        <v>6.5</v>
      </c>
      <c r="C13">
        <v>92</v>
      </c>
      <c r="D13">
        <v>1</v>
      </c>
      <c r="E13">
        <v>10</v>
      </c>
      <c r="F13">
        <v>162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f t="shared" si="0"/>
        <v>2</v>
      </c>
      <c r="P13">
        <f t="shared" si="1"/>
        <v>16.5</v>
      </c>
    </row>
    <row r="14" spans="1:16" x14ac:dyDescent="0.2">
      <c r="A14" s="1">
        <v>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f t="shared" si="0"/>
        <v>0</v>
      </c>
      <c r="P14">
        <f t="shared" si="1"/>
        <v>0</v>
      </c>
    </row>
    <row r="15" spans="1:16" x14ac:dyDescent="0.2">
      <c r="A15" s="1">
        <v>33</v>
      </c>
      <c r="B15">
        <v>7</v>
      </c>
      <c r="C15">
        <v>34</v>
      </c>
      <c r="D15">
        <v>0</v>
      </c>
      <c r="E15">
        <v>6</v>
      </c>
      <c r="F15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O15">
        <f t="shared" si="0"/>
        <v>0</v>
      </c>
      <c r="P15">
        <f t="shared" si="1"/>
        <v>13</v>
      </c>
    </row>
    <row r="16" spans="1:16" x14ac:dyDescent="0.2">
      <c r="A16" s="1">
        <v>35</v>
      </c>
      <c r="B16">
        <v>0</v>
      </c>
      <c r="C16">
        <v>0</v>
      </c>
      <c r="D16">
        <v>0</v>
      </c>
      <c r="E16">
        <v>4.5</v>
      </c>
      <c r="F16">
        <v>52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f t="shared" si="0"/>
        <v>0</v>
      </c>
      <c r="P16">
        <f t="shared" si="1"/>
        <v>4.5</v>
      </c>
    </row>
    <row r="17" spans="1:16" x14ac:dyDescent="0.2">
      <c r="A17" s="1">
        <v>37</v>
      </c>
      <c r="B17">
        <v>0</v>
      </c>
      <c r="C17">
        <v>0</v>
      </c>
      <c r="D17">
        <v>0</v>
      </c>
      <c r="E17">
        <v>6</v>
      </c>
      <c r="F17">
        <v>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f t="shared" si="0"/>
        <v>0</v>
      </c>
      <c r="P17">
        <f t="shared" si="1"/>
        <v>6</v>
      </c>
    </row>
    <row r="18" spans="1:16" x14ac:dyDescent="0.2">
      <c r="A18" s="1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f t="shared" si="0"/>
        <v>0</v>
      </c>
      <c r="P18">
        <f t="shared" si="1"/>
        <v>0</v>
      </c>
    </row>
    <row r="19" spans="1:16" x14ac:dyDescent="0.2">
      <c r="A19" s="1">
        <v>44</v>
      </c>
      <c r="B19">
        <v>5</v>
      </c>
      <c r="C19">
        <v>44</v>
      </c>
      <c r="D19">
        <v>0</v>
      </c>
      <c r="E19">
        <v>10</v>
      </c>
      <c r="F19">
        <v>38</v>
      </c>
      <c r="G19">
        <v>0</v>
      </c>
      <c r="H19">
        <v>12</v>
      </c>
      <c r="I19">
        <v>60</v>
      </c>
      <c r="J19">
        <v>0</v>
      </c>
      <c r="K19">
        <v>5.5</v>
      </c>
      <c r="L19">
        <v>54</v>
      </c>
      <c r="M19">
        <v>0</v>
      </c>
      <c r="O19">
        <f t="shared" si="0"/>
        <v>0</v>
      </c>
      <c r="P19">
        <f t="shared" si="1"/>
        <v>32.5</v>
      </c>
    </row>
    <row r="20" spans="1:16" x14ac:dyDescent="0.2">
      <c r="A20" s="1">
        <v>47</v>
      </c>
      <c r="B20">
        <v>6</v>
      </c>
      <c r="C20">
        <v>48</v>
      </c>
      <c r="D20">
        <v>0</v>
      </c>
      <c r="E20">
        <v>10</v>
      </c>
      <c r="F20">
        <v>74</v>
      </c>
      <c r="G20">
        <v>0</v>
      </c>
      <c r="H20">
        <v>12</v>
      </c>
      <c r="I20">
        <v>74</v>
      </c>
      <c r="J20">
        <v>0</v>
      </c>
      <c r="K20">
        <v>5</v>
      </c>
      <c r="L20">
        <v>12</v>
      </c>
      <c r="M20">
        <v>0</v>
      </c>
      <c r="O20">
        <f t="shared" si="0"/>
        <v>0</v>
      </c>
      <c r="P20">
        <f t="shared" si="1"/>
        <v>33</v>
      </c>
    </row>
    <row r="21" spans="1:16" x14ac:dyDescent="0.2">
      <c r="A21" s="1">
        <v>49</v>
      </c>
      <c r="B21">
        <v>3</v>
      </c>
      <c r="C21">
        <v>10</v>
      </c>
      <c r="D21">
        <v>0</v>
      </c>
      <c r="E21">
        <v>10</v>
      </c>
      <c r="F21">
        <v>58</v>
      </c>
      <c r="G21">
        <v>0</v>
      </c>
      <c r="H21">
        <v>12</v>
      </c>
      <c r="I21">
        <v>38</v>
      </c>
      <c r="J21">
        <v>0</v>
      </c>
      <c r="K21">
        <v>5.5</v>
      </c>
      <c r="L21">
        <v>18</v>
      </c>
      <c r="M21">
        <v>0</v>
      </c>
      <c r="O21">
        <f t="shared" si="0"/>
        <v>0</v>
      </c>
      <c r="P21">
        <f t="shared" si="1"/>
        <v>30.5</v>
      </c>
    </row>
    <row r="22" spans="1:16" x14ac:dyDescent="0.2">
      <c r="A22" s="1">
        <v>56</v>
      </c>
      <c r="B22">
        <v>2</v>
      </c>
      <c r="C22">
        <v>10</v>
      </c>
      <c r="D22">
        <v>0</v>
      </c>
      <c r="E22">
        <v>10</v>
      </c>
      <c r="F22">
        <v>36</v>
      </c>
      <c r="G22">
        <v>0</v>
      </c>
      <c r="H22">
        <v>6</v>
      </c>
      <c r="I22">
        <v>28</v>
      </c>
      <c r="J22">
        <v>0</v>
      </c>
      <c r="K22">
        <v>2.5</v>
      </c>
      <c r="L22">
        <v>34</v>
      </c>
      <c r="M22">
        <v>0</v>
      </c>
      <c r="O22">
        <f t="shared" si="0"/>
        <v>0</v>
      </c>
      <c r="P22">
        <f t="shared" si="1"/>
        <v>20.5</v>
      </c>
    </row>
    <row r="23" spans="1:16" x14ac:dyDescent="0.2">
      <c r="A23" s="1">
        <v>58</v>
      </c>
      <c r="B23">
        <v>5</v>
      </c>
      <c r="C23">
        <v>21</v>
      </c>
      <c r="D23">
        <v>0</v>
      </c>
      <c r="E23">
        <v>9</v>
      </c>
      <c r="F23">
        <v>58</v>
      </c>
      <c r="G23">
        <v>0</v>
      </c>
      <c r="H23">
        <v>6</v>
      </c>
      <c r="I23">
        <v>28</v>
      </c>
      <c r="J23">
        <v>0</v>
      </c>
      <c r="K23">
        <v>2.5</v>
      </c>
      <c r="L23">
        <v>38</v>
      </c>
      <c r="M23">
        <v>0</v>
      </c>
      <c r="O23">
        <f t="shared" si="0"/>
        <v>0</v>
      </c>
      <c r="P23">
        <f t="shared" si="1"/>
        <v>22.5</v>
      </c>
    </row>
    <row r="24" spans="1:16" x14ac:dyDescent="0.2">
      <c r="A24" s="1">
        <v>60</v>
      </c>
      <c r="B24">
        <v>5</v>
      </c>
      <c r="C24">
        <v>24</v>
      </c>
      <c r="D24">
        <v>0</v>
      </c>
      <c r="E24">
        <v>10</v>
      </c>
      <c r="F24">
        <v>62</v>
      </c>
      <c r="G24">
        <v>0</v>
      </c>
      <c r="H24">
        <v>6</v>
      </c>
      <c r="I24">
        <v>30</v>
      </c>
      <c r="J24">
        <v>0</v>
      </c>
      <c r="K24">
        <v>0</v>
      </c>
      <c r="L24">
        <v>0</v>
      </c>
      <c r="M24">
        <v>0</v>
      </c>
      <c r="O24">
        <f t="shared" si="0"/>
        <v>0</v>
      </c>
      <c r="P24">
        <f t="shared" si="1"/>
        <v>21</v>
      </c>
    </row>
    <row r="25" spans="1:16" x14ac:dyDescent="0.2">
      <c r="A25" s="1">
        <v>61</v>
      </c>
      <c r="B25">
        <v>7</v>
      </c>
      <c r="C25">
        <v>38</v>
      </c>
      <c r="D25">
        <v>0</v>
      </c>
      <c r="E25">
        <v>10</v>
      </c>
      <c r="F25">
        <v>50</v>
      </c>
      <c r="G25">
        <v>0</v>
      </c>
      <c r="H25">
        <v>11.5</v>
      </c>
      <c r="I25">
        <v>71</v>
      </c>
      <c r="J25">
        <v>0</v>
      </c>
      <c r="K25">
        <v>5.5</v>
      </c>
      <c r="L25">
        <v>72</v>
      </c>
      <c r="M25">
        <v>0</v>
      </c>
      <c r="O25">
        <f t="shared" si="0"/>
        <v>0</v>
      </c>
      <c r="P25">
        <f t="shared" si="1"/>
        <v>34</v>
      </c>
    </row>
    <row r="26" spans="1:16" x14ac:dyDescent="0.2">
      <c r="A26" s="1">
        <v>62</v>
      </c>
      <c r="B26">
        <v>6.5</v>
      </c>
      <c r="C26">
        <v>44</v>
      </c>
      <c r="D26">
        <v>0</v>
      </c>
      <c r="E26">
        <v>10</v>
      </c>
      <c r="F26">
        <v>58</v>
      </c>
      <c r="G26">
        <v>0</v>
      </c>
      <c r="H26">
        <v>12</v>
      </c>
      <c r="I26">
        <v>80</v>
      </c>
      <c r="J26">
        <v>0</v>
      </c>
      <c r="K26">
        <v>5.5</v>
      </c>
      <c r="L26">
        <v>58</v>
      </c>
      <c r="M26">
        <v>0</v>
      </c>
      <c r="O26">
        <f t="shared" si="0"/>
        <v>0</v>
      </c>
      <c r="P26">
        <f t="shared" si="1"/>
        <v>34</v>
      </c>
    </row>
    <row r="27" spans="1:16" x14ac:dyDescent="0.2">
      <c r="A27" s="1">
        <v>63</v>
      </c>
      <c r="B27">
        <v>7</v>
      </c>
      <c r="C27">
        <v>82</v>
      </c>
      <c r="D27">
        <v>0</v>
      </c>
      <c r="E27">
        <v>6</v>
      </c>
      <c r="F27">
        <v>56</v>
      </c>
      <c r="G27">
        <v>0</v>
      </c>
      <c r="H27">
        <v>9.5</v>
      </c>
      <c r="I27">
        <v>93</v>
      </c>
      <c r="J27">
        <v>0</v>
      </c>
      <c r="K27">
        <v>1</v>
      </c>
      <c r="L27">
        <v>12</v>
      </c>
      <c r="M27">
        <v>0</v>
      </c>
      <c r="O27">
        <f t="shared" si="0"/>
        <v>0</v>
      </c>
      <c r="P27">
        <f t="shared" si="1"/>
        <v>23.5</v>
      </c>
    </row>
    <row r="28" spans="1:16" x14ac:dyDescent="0.2">
      <c r="A28" s="1">
        <v>65</v>
      </c>
      <c r="B28">
        <v>6</v>
      </c>
      <c r="C28">
        <v>92</v>
      </c>
      <c r="D28">
        <v>1</v>
      </c>
      <c r="E28">
        <v>8.5</v>
      </c>
      <c r="F28">
        <v>106</v>
      </c>
      <c r="G28">
        <v>1</v>
      </c>
      <c r="H28">
        <v>12</v>
      </c>
      <c r="I28">
        <v>79</v>
      </c>
      <c r="J28">
        <v>0</v>
      </c>
      <c r="K28">
        <v>3.5</v>
      </c>
      <c r="L28">
        <v>72</v>
      </c>
      <c r="M28">
        <v>1</v>
      </c>
      <c r="O28">
        <f t="shared" si="0"/>
        <v>3</v>
      </c>
      <c r="P28">
        <f t="shared" si="1"/>
        <v>30</v>
      </c>
    </row>
    <row r="29" spans="1:16" x14ac:dyDescent="0.2">
      <c r="A29" s="1">
        <v>66</v>
      </c>
      <c r="B29">
        <v>5</v>
      </c>
      <c r="C29">
        <v>52</v>
      </c>
      <c r="D29">
        <v>0</v>
      </c>
      <c r="E29">
        <v>8.5</v>
      </c>
      <c r="F29">
        <v>72</v>
      </c>
      <c r="G29">
        <v>0</v>
      </c>
      <c r="H29">
        <v>11.5</v>
      </c>
      <c r="I29">
        <v>67</v>
      </c>
      <c r="J29">
        <v>0</v>
      </c>
      <c r="K29">
        <v>5.5</v>
      </c>
      <c r="L29">
        <v>53</v>
      </c>
      <c r="M29">
        <v>0</v>
      </c>
      <c r="O29">
        <f t="shared" si="0"/>
        <v>0</v>
      </c>
      <c r="P29">
        <f t="shared" si="1"/>
        <v>30.5</v>
      </c>
    </row>
    <row r="30" spans="1:16" x14ac:dyDescent="0.2">
      <c r="A30" s="1">
        <v>68</v>
      </c>
      <c r="B30">
        <v>7</v>
      </c>
      <c r="C30">
        <v>30</v>
      </c>
      <c r="D30">
        <v>0</v>
      </c>
      <c r="E30">
        <v>10</v>
      </c>
      <c r="F30">
        <v>68</v>
      </c>
      <c r="G30">
        <v>0</v>
      </c>
      <c r="H30">
        <v>12</v>
      </c>
      <c r="I30">
        <v>90</v>
      </c>
      <c r="J30">
        <v>0</v>
      </c>
      <c r="K30">
        <v>3.5</v>
      </c>
      <c r="L30">
        <v>42</v>
      </c>
      <c r="M30">
        <v>0</v>
      </c>
      <c r="O30">
        <f t="shared" si="0"/>
        <v>0</v>
      </c>
      <c r="P30">
        <f t="shared" si="1"/>
        <v>32.5</v>
      </c>
    </row>
    <row r="31" spans="1:16" x14ac:dyDescent="0.2">
      <c r="A31" s="1">
        <v>69</v>
      </c>
      <c r="B31">
        <v>7</v>
      </c>
      <c r="C31">
        <v>78</v>
      </c>
      <c r="D31">
        <v>0</v>
      </c>
      <c r="E31">
        <v>9.5</v>
      </c>
      <c r="F31">
        <v>82</v>
      </c>
      <c r="G31">
        <v>0</v>
      </c>
      <c r="H31">
        <v>12</v>
      </c>
      <c r="I31">
        <v>94</v>
      </c>
      <c r="J31">
        <v>0</v>
      </c>
      <c r="K31">
        <v>3.5</v>
      </c>
      <c r="L31">
        <v>50</v>
      </c>
      <c r="M31">
        <v>0</v>
      </c>
      <c r="O31">
        <f t="shared" si="0"/>
        <v>0</v>
      </c>
      <c r="P31">
        <f t="shared" si="1"/>
        <v>32</v>
      </c>
    </row>
    <row r="32" spans="1:16" x14ac:dyDescent="0.2">
      <c r="A32" s="1">
        <v>70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f t="shared" si="0"/>
        <v>0</v>
      </c>
      <c r="P32">
        <f t="shared" si="1"/>
        <v>0</v>
      </c>
    </row>
    <row r="33" spans="1:16" x14ac:dyDescent="0.2">
      <c r="A33" s="1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f t="shared" si="0"/>
        <v>0</v>
      </c>
      <c r="P33">
        <f t="shared" si="1"/>
        <v>0</v>
      </c>
    </row>
    <row r="34" spans="1:16" x14ac:dyDescent="0.2">
      <c r="A34" s="1">
        <v>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f t="shared" si="0"/>
        <v>0</v>
      </c>
      <c r="P34">
        <f t="shared" si="1"/>
        <v>0</v>
      </c>
    </row>
    <row r="35" spans="1:16" x14ac:dyDescent="0.2">
      <c r="A35" s="1">
        <v>75</v>
      </c>
      <c r="B35">
        <v>7</v>
      </c>
      <c r="C35">
        <v>72</v>
      </c>
      <c r="D35">
        <v>1</v>
      </c>
      <c r="E35">
        <v>6</v>
      </c>
      <c r="F35">
        <v>78</v>
      </c>
      <c r="G35">
        <v>1</v>
      </c>
      <c r="H35">
        <v>5</v>
      </c>
      <c r="I35">
        <v>72</v>
      </c>
      <c r="J35">
        <v>1</v>
      </c>
      <c r="K35">
        <v>5.5</v>
      </c>
      <c r="L35">
        <v>78</v>
      </c>
      <c r="M35">
        <v>2</v>
      </c>
      <c r="O35">
        <f t="shared" si="0"/>
        <v>5</v>
      </c>
      <c r="P35">
        <f t="shared" si="1"/>
        <v>23.5</v>
      </c>
    </row>
    <row r="36" spans="1:16" x14ac:dyDescent="0.2">
      <c r="A36" s="1">
        <v>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f t="shared" si="0"/>
        <v>0</v>
      </c>
      <c r="P36">
        <f t="shared" si="1"/>
        <v>0</v>
      </c>
    </row>
    <row r="37" spans="1:16" x14ac:dyDescent="0.2">
      <c r="A37" s="1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f t="shared" si="0"/>
        <v>0</v>
      </c>
      <c r="P37">
        <f t="shared" si="1"/>
        <v>0</v>
      </c>
    </row>
    <row r="38" spans="1:16" x14ac:dyDescent="0.2">
      <c r="A38" s="1">
        <v>79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f t="shared" si="0"/>
        <v>0</v>
      </c>
      <c r="P38">
        <f t="shared" si="1"/>
        <v>0</v>
      </c>
    </row>
    <row r="39" spans="1:16" x14ac:dyDescent="0.2">
      <c r="A39" s="1">
        <v>80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f t="shared" si="0"/>
        <v>0</v>
      </c>
      <c r="P39">
        <f t="shared" si="1"/>
        <v>0</v>
      </c>
    </row>
    <row r="40" spans="1:16" x14ac:dyDescent="0.2">
      <c r="A40" s="1">
        <v>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f t="shared" si="0"/>
        <v>0</v>
      </c>
      <c r="P40">
        <f t="shared" si="1"/>
        <v>0</v>
      </c>
    </row>
    <row r="41" spans="1:16" x14ac:dyDescent="0.2">
      <c r="A41" s="1">
        <v>82</v>
      </c>
      <c r="B41">
        <v>6.5</v>
      </c>
      <c r="C41">
        <v>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12</v>
      </c>
      <c r="M41">
        <v>0</v>
      </c>
      <c r="O41">
        <f t="shared" si="0"/>
        <v>0</v>
      </c>
      <c r="P41">
        <f t="shared" si="1"/>
        <v>9.5</v>
      </c>
    </row>
    <row r="42" spans="1:16" x14ac:dyDescent="0.2">
      <c r="A42" s="1">
        <v>86</v>
      </c>
      <c r="B42">
        <v>6.5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20</v>
      </c>
      <c r="M42">
        <v>0</v>
      </c>
      <c r="O42">
        <f t="shared" si="0"/>
        <v>0</v>
      </c>
      <c r="P42">
        <f t="shared" si="1"/>
        <v>9.5</v>
      </c>
    </row>
    <row r="43" spans="1:16" x14ac:dyDescent="0.2">
      <c r="A43" s="1">
        <v>90</v>
      </c>
      <c r="B43">
        <v>0</v>
      </c>
      <c r="C43">
        <v>0</v>
      </c>
      <c r="D43">
        <v>0</v>
      </c>
      <c r="E43">
        <v>7</v>
      </c>
      <c r="F43">
        <v>42</v>
      </c>
      <c r="G43">
        <v>0</v>
      </c>
      <c r="H43">
        <v>1</v>
      </c>
      <c r="I43">
        <v>4</v>
      </c>
      <c r="J43">
        <v>0</v>
      </c>
      <c r="K43">
        <v>0</v>
      </c>
      <c r="L43">
        <v>0</v>
      </c>
      <c r="M43">
        <v>0</v>
      </c>
      <c r="O43">
        <f t="shared" si="0"/>
        <v>0</v>
      </c>
      <c r="P43">
        <f t="shared" si="1"/>
        <v>8</v>
      </c>
    </row>
    <row r="44" spans="1:16" x14ac:dyDescent="0.2">
      <c r="A44" s="1">
        <v>91</v>
      </c>
      <c r="B44">
        <v>6.5</v>
      </c>
      <c r="C44">
        <v>16</v>
      </c>
      <c r="D44">
        <v>0</v>
      </c>
      <c r="E44">
        <v>3</v>
      </c>
      <c r="F44">
        <v>12</v>
      </c>
      <c r="G44">
        <v>0</v>
      </c>
      <c r="H44">
        <v>1</v>
      </c>
      <c r="I44">
        <v>6</v>
      </c>
      <c r="J44">
        <v>0</v>
      </c>
      <c r="K44">
        <v>0</v>
      </c>
      <c r="L44">
        <v>0</v>
      </c>
      <c r="M44">
        <v>0</v>
      </c>
      <c r="O44">
        <f t="shared" si="0"/>
        <v>0</v>
      </c>
      <c r="P44">
        <f t="shared" si="1"/>
        <v>10.5</v>
      </c>
    </row>
    <row r="45" spans="1:16" x14ac:dyDescent="0.2">
      <c r="A45" s="1">
        <v>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f t="shared" si="0"/>
        <v>0</v>
      </c>
      <c r="P45">
        <f t="shared" si="1"/>
        <v>0</v>
      </c>
    </row>
    <row r="46" spans="1:16" x14ac:dyDescent="0.2">
      <c r="A46" s="1">
        <v>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f t="shared" si="0"/>
        <v>0</v>
      </c>
      <c r="P46">
        <f t="shared" si="1"/>
        <v>0</v>
      </c>
    </row>
    <row r="47" spans="1:16" x14ac:dyDescent="0.2">
      <c r="A47" s="1">
        <v>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f t="shared" si="0"/>
        <v>0</v>
      </c>
      <c r="P47">
        <f t="shared" si="1"/>
        <v>0</v>
      </c>
    </row>
    <row r="48" spans="1:16" x14ac:dyDescent="0.2">
      <c r="A48" s="1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f t="shared" si="0"/>
        <v>0</v>
      </c>
      <c r="P48">
        <f t="shared" si="1"/>
        <v>0</v>
      </c>
    </row>
    <row r="49" spans="1:16" x14ac:dyDescent="0.2">
      <c r="A49" s="1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f t="shared" si="0"/>
        <v>0</v>
      </c>
      <c r="P49">
        <f t="shared" si="1"/>
        <v>0</v>
      </c>
    </row>
    <row r="50" spans="1:16" x14ac:dyDescent="0.2">
      <c r="A50" s="1">
        <v>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f t="shared" si="0"/>
        <v>0</v>
      </c>
      <c r="P50">
        <f t="shared" si="1"/>
        <v>0</v>
      </c>
    </row>
    <row r="51" spans="1:16" x14ac:dyDescent="0.2">
      <c r="A51" s="1">
        <v>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f t="shared" si="0"/>
        <v>0</v>
      </c>
      <c r="P51">
        <f t="shared" si="1"/>
        <v>0</v>
      </c>
    </row>
    <row r="53" spans="1:16" x14ac:dyDescent="0.2">
      <c r="A53" t="s">
        <v>4</v>
      </c>
      <c r="C53">
        <f>SUM(C2:C51)</f>
        <v>1238</v>
      </c>
      <c r="F53">
        <f>SUM(F2:F51)</f>
        <v>1680</v>
      </c>
      <c r="I53">
        <f>SUM(I2:I51)</f>
        <v>1352</v>
      </c>
      <c r="L53">
        <f>SUM(L2:L51)</f>
        <v>1035</v>
      </c>
    </row>
    <row r="54" spans="1:16" x14ac:dyDescent="0.2">
      <c r="B54" t="s">
        <v>8</v>
      </c>
      <c r="E54" t="s">
        <v>7</v>
      </c>
      <c r="H54" t="s">
        <v>12</v>
      </c>
      <c r="K5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A342-31D2-4940-A735-EF0BB0168473}">
  <dimension ref="A1:P54"/>
  <sheetViews>
    <sheetView workbookViewId="0">
      <selection activeCell="O1" sqref="O1:O1048576"/>
    </sheetView>
  </sheetViews>
  <sheetFormatPr baseColWidth="10" defaultRowHeight="16" x14ac:dyDescent="0.2"/>
  <sheetData>
    <row r="1" spans="1:16" x14ac:dyDescent="0.2">
      <c r="A1" s="1" t="s">
        <v>0</v>
      </c>
      <c r="B1" t="s">
        <v>1</v>
      </c>
      <c r="E1" t="s">
        <v>6</v>
      </c>
      <c r="H1" t="s">
        <v>2</v>
      </c>
      <c r="K1" t="s">
        <v>3</v>
      </c>
      <c r="O1" t="s">
        <v>5</v>
      </c>
      <c r="P1" t="s">
        <v>18</v>
      </c>
    </row>
    <row r="2" spans="1:16" x14ac:dyDescent="0.2">
      <c r="A2" s="1">
        <v>1</v>
      </c>
      <c r="B2">
        <v>6.5</v>
      </c>
      <c r="C2">
        <v>48</v>
      </c>
      <c r="D2">
        <v>0</v>
      </c>
      <c r="E2">
        <v>10</v>
      </c>
      <c r="F2">
        <v>109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f>SUM(D2,G2,J2,M2)</f>
        <v>2</v>
      </c>
      <c r="P2">
        <f>SUM(B2,E2,H2,K2)</f>
        <v>16.5</v>
      </c>
    </row>
    <row r="3" spans="1:16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124</v>
      </c>
      <c r="J3">
        <v>2</v>
      </c>
      <c r="K3">
        <v>0</v>
      </c>
      <c r="L3">
        <v>0</v>
      </c>
      <c r="M3">
        <v>0</v>
      </c>
      <c r="O3">
        <f t="shared" ref="O3:O51" si="0">SUM(D3,G3,J3,M3)</f>
        <v>2</v>
      </c>
      <c r="P3">
        <f t="shared" ref="P3:P51" si="1">SUM(B3,E3,H3,K3)</f>
        <v>6</v>
      </c>
    </row>
    <row r="4" spans="1:16" x14ac:dyDescent="0.2">
      <c r="A4" s="1">
        <v>3</v>
      </c>
      <c r="B4">
        <v>6</v>
      </c>
      <c r="C4">
        <v>113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O4">
        <f t="shared" si="0"/>
        <v>1</v>
      </c>
      <c r="P4">
        <f t="shared" si="1"/>
        <v>6</v>
      </c>
    </row>
    <row r="5" spans="1:16" x14ac:dyDescent="0.2">
      <c r="A5" s="1">
        <v>8</v>
      </c>
      <c r="B5">
        <v>0</v>
      </c>
      <c r="C5">
        <v>0</v>
      </c>
      <c r="D5">
        <v>0</v>
      </c>
      <c r="E5">
        <v>10</v>
      </c>
      <c r="F5">
        <v>120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O5">
        <f t="shared" si="0"/>
        <v>2</v>
      </c>
      <c r="P5">
        <f t="shared" si="1"/>
        <v>10</v>
      </c>
    </row>
    <row r="6" spans="1:16" x14ac:dyDescent="0.2">
      <c r="A6" s="1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4.5</v>
      </c>
      <c r="L6">
        <v>152</v>
      </c>
      <c r="M6">
        <v>2</v>
      </c>
      <c r="O6">
        <f t="shared" si="0"/>
        <v>2</v>
      </c>
      <c r="P6">
        <f t="shared" si="1"/>
        <v>4.5</v>
      </c>
    </row>
    <row r="7" spans="1:16" x14ac:dyDescent="0.2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f t="shared" si="0"/>
        <v>0</v>
      </c>
      <c r="P7">
        <f t="shared" si="1"/>
        <v>0</v>
      </c>
    </row>
    <row r="8" spans="1:16" x14ac:dyDescent="0.2">
      <c r="A8" s="1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f t="shared" si="0"/>
        <v>0</v>
      </c>
      <c r="P8">
        <f t="shared" si="1"/>
        <v>0</v>
      </c>
    </row>
    <row r="9" spans="1:16" x14ac:dyDescent="0.2">
      <c r="A9" s="1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f t="shared" si="0"/>
        <v>0</v>
      </c>
      <c r="P9">
        <f t="shared" si="1"/>
        <v>0</v>
      </c>
    </row>
    <row r="10" spans="1:16" x14ac:dyDescent="0.2">
      <c r="A10" s="1">
        <v>21</v>
      </c>
      <c r="B10">
        <v>5.5</v>
      </c>
      <c r="C10">
        <v>122</v>
      </c>
      <c r="D10">
        <v>3</v>
      </c>
      <c r="E10">
        <v>7</v>
      </c>
      <c r="F10">
        <v>28</v>
      </c>
      <c r="G10">
        <v>0</v>
      </c>
      <c r="H10">
        <v>7</v>
      </c>
      <c r="I10">
        <v>58</v>
      </c>
      <c r="J10">
        <v>0</v>
      </c>
      <c r="K10">
        <v>4.5</v>
      </c>
      <c r="L10">
        <v>72</v>
      </c>
      <c r="M10">
        <v>0</v>
      </c>
      <c r="O10">
        <f t="shared" si="0"/>
        <v>3</v>
      </c>
      <c r="P10">
        <f t="shared" si="1"/>
        <v>24</v>
      </c>
    </row>
    <row r="11" spans="1:16" x14ac:dyDescent="0.2">
      <c r="A11" s="1">
        <v>22</v>
      </c>
      <c r="B11">
        <v>6.5</v>
      </c>
      <c r="C11">
        <v>108</v>
      </c>
      <c r="D11">
        <v>3</v>
      </c>
      <c r="E11">
        <v>7</v>
      </c>
      <c r="F11">
        <v>80</v>
      </c>
      <c r="G11">
        <v>0</v>
      </c>
      <c r="H11">
        <v>7</v>
      </c>
      <c r="I11">
        <v>60</v>
      </c>
      <c r="J11">
        <v>0</v>
      </c>
      <c r="K11">
        <v>0</v>
      </c>
      <c r="L11">
        <v>0</v>
      </c>
      <c r="M11">
        <v>0</v>
      </c>
      <c r="O11">
        <f t="shared" si="0"/>
        <v>3</v>
      </c>
      <c r="P11">
        <f t="shared" si="1"/>
        <v>20.5</v>
      </c>
    </row>
    <row r="12" spans="1:16" x14ac:dyDescent="0.2">
      <c r="A12" s="1">
        <v>25</v>
      </c>
      <c r="B12">
        <v>7</v>
      </c>
      <c r="C12">
        <v>34</v>
      </c>
      <c r="D12">
        <v>0</v>
      </c>
      <c r="E12">
        <v>10</v>
      </c>
      <c r="F12">
        <v>201</v>
      </c>
      <c r="G12">
        <v>3</v>
      </c>
      <c r="H12">
        <v>8</v>
      </c>
      <c r="I12">
        <v>62</v>
      </c>
      <c r="J12">
        <v>0</v>
      </c>
      <c r="K12">
        <v>5.5</v>
      </c>
      <c r="L12">
        <v>38</v>
      </c>
      <c r="M12">
        <v>0</v>
      </c>
      <c r="O12">
        <f t="shared" si="0"/>
        <v>3</v>
      </c>
      <c r="P12">
        <f t="shared" si="1"/>
        <v>30.5</v>
      </c>
    </row>
    <row r="13" spans="1:16" x14ac:dyDescent="0.2">
      <c r="A13" s="1">
        <v>28</v>
      </c>
      <c r="B13">
        <v>6.5</v>
      </c>
      <c r="C13">
        <v>92</v>
      </c>
      <c r="D13">
        <v>1</v>
      </c>
      <c r="E13">
        <v>4.5</v>
      </c>
      <c r="F13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f t="shared" si="0"/>
        <v>1</v>
      </c>
      <c r="P13">
        <f t="shared" si="1"/>
        <v>11</v>
      </c>
    </row>
    <row r="14" spans="1:16" x14ac:dyDescent="0.2">
      <c r="A14" s="1">
        <v>30</v>
      </c>
      <c r="B14">
        <v>0</v>
      </c>
      <c r="C14">
        <v>0</v>
      </c>
      <c r="D14">
        <v>0</v>
      </c>
      <c r="E14">
        <v>5.5</v>
      </c>
      <c r="F14">
        <v>110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f t="shared" si="0"/>
        <v>1</v>
      </c>
      <c r="P14">
        <f t="shared" si="1"/>
        <v>5.5</v>
      </c>
    </row>
    <row r="15" spans="1:16" x14ac:dyDescent="0.2">
      <c r="A15" s="1">
        <v>33</v>
      </c>
      <c r="B15">
        <v>7</v>
      </c>
      <c r="C15">
        <v>34</v>
      </c>
      <c r="D15">
        <v>0</v>
      </c>
      <c r="E15">
        <v>6</v>
      </c>
      <c r="F15">
        <v>30</v>
      </c>
      <c r="G15">
        <v>0</v>
      </c>
      <c r="H15">
        <v>5</v>
      </c>
      <c r="I15">
        <v>36</v>
      </c>
      <c r="J15">
        <v>0</v>
      </c>
      <c r="K15">
        <v>0</v>
      </c>
      <c r="L15">
        <v>0</v>
      </c>
      <c r="M15">
        <v>0</v>
      </c>
      <c r="O15">
        <f t="shared" si="0"/>
        <v>0</v>
      </c>
      <c r="P15">
        <f t="shared" si="1"/>
        <v>18</v>
      </c>
    </row>
    <row r="16" spans="1:16" x14ac:dyDescent="0.2">
      <c r="A16" s="1">
        <v>35</v>
      </c>
      <c r="B16">
        <v>0</v>
      </c>
      <c r="C16">
        <v>0</v>
      </c>
      <c r="D16">
        <v>0</v>
      </c>
      <c r="E16">
        <v>6</v>
      </c>
      <c r="F16">
        <v>34</v>
      </c>
      <c r="G16">
        <v>0</v>
      </c>
      <c r="H16">
        <v>7.5</v>
      </c>
      <c r="I16">
        <v>75</v>
      </c>
      <c r="J16">
        <v>0</v>
      </c>
      <c r="K16">
        <v>0</v>
      </c>
      <c r="L16">
        <v>0</v>
      </c>
      <c r="M16">
        <v>0</v>
      </c>
      <c r="O16">
        <f t="shared" si="0"/>
        <v>0</v>
      </c>
      <c r="P16">
        <f t="shared" si="1"/>
        <v>13.5</v>
      </c>
    </row>
    <row r="17" spans="1:16" x14ac:dyDescent="0.2">
      <c r="A17" s="1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f t="shared" si="0"/>
        <v>0</v>
      </c>
      <c r="P17">
        <f t="shared" si="1"/>
        <v>0</v>
      </c>
    </row>
    <row r="18" spans="1:16" x14ac:dyDescent="0.2">
      <c r="A18" s="1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f t="shared" si="0"/>
        <v>0</v>
      </c>
      <c r="P18">
        <f t="shared" si="1"/>
        <v>0</v>
      </c>
    </row>
    <row r="19" spans="1:16" x14ac:dyDescent="0.2">
      <c r="A19" s="1">
        <v>44</v>
      </c>
      <c r="B19">
        <v>5</v>
      </c>
      <c r="C19">
        <v>44</v>
      </c>
      <c r="D19">
        <v>0</v>
      </c>
      <c r="E19">
        <v>10</v>
      </c>
      <c r="F19">
        <v>38</v>
      </c>
      <c r="G19">
        <v>0</v>
      </c>
      <c r="H19">
        <v>8.5</v>
      </c>
      <c r="I19">
        <v>78</v>
      </c>
      <c r="J19">
        <v>0</v>
      </c>
      <c r="K19">
        <v>5</v>
      </c>
      <c r="L19">
        <v>116</v>
      </c>
      <c r="M19">
        <v>1</v>
      </c>
      <c r="O19">
        <f t="shared" si="0"/>
        <v>1</v>
      </c>
      <c r="P19">
        <f t="shared" si="1"/>
        <v>28.5</v>
      </c>
    </row>
    <row r="20" spans="1:16" x14ac:dyDescent="0.2">
      <c r="A20" s="1">
        <v>47</v>
      </c>
      <c r="B20">
        <v>6</v>
      </c>
      <c r="C20">
        <v>48</v>
      </c>
      <c r="D20">
        <v>0</v>
      </c>
      <c r="E20">
        <v>10</v>
      </c>
      <c r="F20">
        <v>74</v>
      </c>
      <c r="G20">
        <v>0</v>
      </c>
      <c r="H20">
        <v>9</v>
      </c>
      <c r="I20">
        <v>138</v>
      </c>
      <c r="J20">
        <v>1</v>
      </c>
      <c r="K20">
        <v>5</v>
      </c>
      <c r="L20">
        <v>22</v>
      </c>
      <c r="M20">
        <v>0</v>
      </c>
      <c r="O20">
        <f t="shared" si="0"/>
        <v>1</v>
      </c>
      <c r="P20">
        <f t="shared" si="1"/>
        <v>30</v>
      </c>
    </row>
    <row r="21" spans="1:16" x14ac:dyDescent="0.2">
      <c r="A21" s="1">
        <v>49</v>
      </c>
      <c r="B21">
        <v>3</v>
      </c>
      <c r="C21">
        <v>10</v>
      </c>
      <c r="D21">
        <v>0</v>
      </c>
      <c r="E21">
        <v>10</v>
      </c>
      <c r="F21">
        <v>58</v>
      </c>
      <c r="G21">
        <v>0</v>
      </c>
      <c r="H21">
        <v>9</v>
      </c>
      <c r="I21">
        <v>22</v>
      </c>
      <c r="J21">
        <v>0</v>
      </c>
      <c r="K21">
        <v>5.5</v>
      </c>
      <c r="L21">
        <v>114</v>
      </c>
      <c r="M21">
        <v>1</v>
      </c>
      <c r="O21">
        <f t="shared" si="0"/>
        <v>1</v>
      </c>
      <c r="P21">
        <f t="shared" si="1"/>
        <v>27.5</v>
      </c>
    </row>
    <row r="22" spans="1:16" x14ac:dyDescent="0.2">
      <c r="A22" s="1">
        <v>56</v>
      </c>
      <c r="B22">
        <v>2</v>
      </c>
      <c r="C22">
        <v>10</v>
      </c>
      <c r="D22">
        <v>0</v>
      </c>
      <c r="E22">
        <v>10</v>
      </c>
      <c r="F22">
        <v>36</v>
      </c>
      <c r="G22">
        <v>0</v>
      </c>
      <c r="H22">
        <v>6</v>
      </c>
      <c r="I22">
        <v>28</v>
      </c>
      <c r="J22">
        <v>0</v>
      </c>
      <c r="K22">
        <v>2</v>
      </c>
      <c r="L22">
        <v>12</v>
      </c>
      <c r="M22">
        <v>0</v>
      </c>
      <c r="O22">
        <f t="shared" si="0"/>
        <v>0</v>
      </c>
      <c r="P22">
        <f t="shared" si="1"/>
        <v>20</v>
      </c>
    </row>
    <row r="23" spans="1:16" x14ac:dyDescent="0.2">
      <c r="A23" s="1">
        <v>58</v>
      </c>
      <c r="B23">
        <v>5</v>
      </c>
      <c r="C23">
        <v>21</v>
      </c>
      <c r="D23">
        <v>0</v>
      </c>
      <c r="E23">
        <v>9</v>
      </c>
      <c r="F23">
        <v>58</v>
      </c>
      <c r="G23">
        <v>0</v>
      </c>
      <c r="H23">
        <v>6</v>
      </c>
      <c r="I23">
        <v>28</v>
      </c>
      <c r="J23">
        <v>0</v>
      </c>
      <c r="K23">
        <v>2.5</v>
      </c>
      <c r="L23">
        <v>38</v>
      </c>
      <c r="M23">
        <v>0</v>
      </c>
      <c r="O23">
        <f t="shared" si="0"/>
        <v>0</v>
      </c>
      <c r="P23">
        <f t="shared" si="1"/>
        <v>22.5</v>
      </c>
    </row>
    <row r="24" spans="1:16" x14ac:dyDescent="0.2">
      <c r="A24" s="1">
        <v>60</v>
      </c>
      <c r="B24">
        <v>5</v>
      </c>
      <c r="C24">
        <v>24</v>
      </c>
      <c r="D24">
        <v>0</v>
      </c>
      <c r="E24">
        <v>10</v>
      </c>
      <c r="F24">
        <v>62</v>
      </c>
      <c r="G24">
        <v>0</v>
      </c>
      <c r="H24">
        <v>6</v>
      </c>
      <c r="I24">
        <v>30</v>
      </c>
      <c r="J24">
        <v>0</v>
      </c>
      <c r="K24">
        <v>0.5</v>
      </c>
      <c r="L24">
        <v>22</v>
      </c>
      <c r="M24">
        <v>0</v>
      </c>
      <c r="O24">
        <f t="shared" si="0"/>
        <v>0</v>
      </c>
      <c r="P24">
        <f t="shared" si="1"/>
        <v>21.5</v>
      </c>
    </row>
    <row r="25" spans="1:16" x14ac:dyDescent="0.2">
      <c r="A25" s="1">
        <v>61</v>
      </c>
      <c r="B25">
        <v>7</v>
      </c>
      <c r="C25">
        <v>38</v>
      </c>
      <c r="D25">
        <v>0</v>
      </c>
      <c r="E25">
        <v>10</v>
      </c>
      <c r="F25">
        <v>50</v>
      </c>
      <c r="G25">
        <v>0</v>
      </c>
      <c r="H25">
        <v>8</v>
      </c>
      <c r="I25">
        <v>80</v>
      </c>
      <c r="J25">
        <v>0</v>
      </c>
      <c r="K25">
        <v>5.5</v>
      </c>
      <c r="L25">
        <v>130</v>
      </c>
      <c r="M25">
        <v>2</v>
      </c>
      <c r="O25">
        <f t="shared" si="0"/>
        <v>2</v>
      </c>
      <c r="P25">
        <f t="shared" si="1"/>
        <v>30.5</v>
      </c>
    </row>
    <row r="26" spans="1:16" x14ac:dyDescent="0.2">
      <c r="A26" s="1">
        <v>62</v>
      </c>
      <c r="B26">
        <v>6.5</v>
      </c>
      <c r="C26">
        <v>44</v>
      </c>
      <c r="D26">
        <v>0</v>
      </c>
      <c r="E26">
        <v>10</v>
      </c>
      <c r="F26">
        <v>58</v>
      </c>
      <c r="G26">
        <v>0</v>
      </c>
      <c r="H26">
        <v>8.5</v>
      </c>
      <c r="I26">
        <v>111</v>
      </c>
      <c r="J26">
        <v>2</v>
      </c>
      <c r="K26">
        <v>5.5</v>
      </c>
      <c r="L26">
        <v>58</v>
      </c>
      <c r="M26">
        <v>0</v>
      </c>
      <c r="O26">
        <f t="shared" si="0"/>
        <v>2</v>
      </c>
      <c r="P26">
        <f t="shared" si="1"/>
        <v>30.5</v>
      </c>
    </row>
    <row r="27" spans="1:16" x14ac:dyDescent="0.2">
      <c r="A27" s="1">
        <v>63</v>
      </c>
      <c r="B27">
        <v>7</v>
      </c>
      <c r="C27">
        <v>82</v>
      </c>
      <c r="D27">
        <v>0</v>
      </c>
      <c r="E27">
        <v>9.5</v>
      </c>
      <c r="F27">
        <v>74</v>
      </c>
      <c r="G27">
        <v>1</v>
      </c>
      <c r="H27">
        <v>9</v>
      </c>
      <c r="I27">
        <v>86</v>
      </c>
      <c r="J27">
        <v>0</v>
      </c>
      <c r="K27">
        <v>5.5</v>
      </c>
      <c r="L27">
        <v>59</v>
      </c>
      <c r="M27">
        <v>0</v>
      </c>
      <c r="O27">
        <f t="shared" si="0"/>
        <v>1</v>
      </c>
      <c r="P27">
        <f t="shared" si="1"/>
        <v>31</v>
      </c>
    </row>
    <row r="28" spans="1:16" x14ac:dyDescent="0.2">
      <c r="A28" s="1">
        <v>65</v>
      </c>
      <c r="B28">
        <v>6</v>
      </c>
      <c r="C28">
        <v>92</v>
      </c>
      <c r="D28">
        <v>1</v>
      </c>
      <c r="E28">
        <v>6</v>
      </c>
      <c r="F28">
        <v>52</v>
      </c>
      <c r="G28">
        <v>0</v>
      </c>
      <c r="H28">
        <v>8</v>
      </c>
      <c r="I28">
        <v>82</v>
      </c>
      <c r="J28">
        <v>0</v>
      </c>
      <c r="K28">
        <v>3.5</v>
      </c>
      <c r="L28">
        <v>50</v>
      </c>
      <c r="M28">
        <v>0</v>
      </c>
      <c r="O28">
        <f t="shared" si="0"/>
        <v>1</v>
      </c>
      <c r="P28">
        <f t="shared" si="1"/>
        <v>23.5</v>
      </c>
    </row>
    <row r="29" spans="1:16" x14ac:dyDescent="0.2">
      <c r="A29" s="1">
        <v>66</v>
      </c>
      <c r="B29">
        <v>5</v>
      </c>
      <c r="C29">
        <v>52</v>
      </c>
      <c r="D29">
        <v>0</v>
      </c>
      <c r="E29">
        <v>8.5</v>
      </c>
      <c r="F29">
        <v>72</v>
      </c>
      <c r="G29">
        <v>0</v>
      </c>
      <c r="H29">
        <v>7.5</v>
      </c>
      <c r="I29">
        <v>41</v>
      </c>
      <c r="J29">
        <v>0</v>
      </c>
      <c r="K29">
        <v>5.5</v>
      </c>
      <c r="L29">
        <v>80</v>
      </c>
      <c r="M29">
        <v>2</v>
      </c>
      <c r="O29">
        <f t="shared" si="0"/>
        <v>2</v>
      </c>
      <c r="P29">
        <f t="shared" si="1"/>
        <v>26.5</v>
      </c>
    </row>
    <row r="30" spans="1:16" x14ac:dyDescent="0.2">
      <c r="A30" s="1">
        <v>68</v>
      </c>
      <c r="B30">
        <v>7</v>
      </c>
      <c r="C30">
        <v>30</v>
      </c>
      <c r="D30">
        <v>0</v>
      </c>
      <c r="E30">
        <v>10</v>
      </c>
      <c r="F30">
        <v>68</v>
      </c>
      <c r="G30">
        <v>0</v>
      </c>
      <c r="H30">
        <v>9</v>
      </c>
      <c r="I30">
        <v>58</v>
      </c>
      <c r="J30">
        <v>0</v>
      </c>
      <c r="K30">
        <v>3.5</v>
      </c>
      <c r="L30">
        <v>42</v>
      </c>
      <c r="M30">
        <v>0</v>
      </c>
      <c r="O30">
        <f t="shared" si="0"/>
        <v>0</v>
      </c>
      <c r="P30">
        <f t="shared" si="1"/>
        <v>29.5</v>
      </c>
    </row>
    <row r="31" spans="1:16" x14ac:dyDescent="0.2">
      <c r="A31" s="1">
        <v>69</v>
      </c>
      <c r="B31">
        <v>7</v>
      </c>
      <c r="C31">
        <v>78</v>
      </c>
      <c r="D31">
        <v>0</v>
      </c>
      <c r="E31">
        <v>9.5</v>
      </c>
      <c r="F31">
        <v>82</v>
      </c>
      <c r="G31">
        <v>0</v>
      </c>
      <c r="H31">
        <v>9</v>
      </c>
      <c r="I31">
        <v>62</v>
      </c>
      <c r="J31">
        <v>0</v>
      </c>
      <c r="K31">
        <v>4.5</v>
      </c>
      <c r="L31">
        <v>160</v>
      </c>
      <c r="M31">
        <v>2</v>
      </c>
      <c r="O31">
        <f t="shared" si="0"/>
        <v>2</v>
      </c>
      <c r="P31">
        <f t="shared" si="1"/>
        <v>30</v>
      </c>
    </row>
    <row r="32" spans="1:16" x14ac:dyDescent="0.2">
      <c r="A32" s="1">
        <v>70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f t="shared" si="0"/>
        <v>0</v>
      </c>
      <c r="P32">
        <f t="shared" si="1"/>
        <v>0</v>
      </c>
    </row>
    <row r="33" spans="1:16" x14ac:dyDescent="0.2">
      <c r="A33" s="1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f t="shared" si="0"/>
        <v>0</v>
      </c>
      <c r="P33">
        <f t="shared" si="1"/>
        <v>0</v>
      </c>
    </row>
    <row r="34" spans="1:16" x14ac:dyDescent="0.2">
      <c r="A34" s="1">
        <v>73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f t="shared" si="0"/>
        <v>0</v>
      </c>
      <c r="P34">
        <f t="shared" si="1"/>
        <v>0</v>
      </c>
    </row>
    <row r="35" spans="1:16" x14ac:dyDescent="0.2">
      <c r="A35" s="1">
        <v>75</v>
      </c>
      <c r="B35">
        <v>7</v>
      </c>
      <c r="C35">
        <v>72</v>
      </c>
      <c r="D35">
        <v>1</v>
      </c>
      <c r="E35">
        <v>6</v>
      </c>
      <c r="F35">
        <v>76</v>
      </c>
      <c r="G35">
        <v>0</v>
      </c>
      <c r="H35">
        <v>5</v>
      </c>
      <c r="I35">
        <v>72</v>
      </c>
      <c r="J35">
        <v>1</v>
      </c>
      <c r="K35">
        <v>0</v>
      </c>
      <c r="L35">
        <v>0</v>
      </c>
      <c r="M35">
        <v>0</v>
      </c>
      <c r="O35">
        <f t="shared" si="0"/>
        <v>2</v>
      </c>
      <c r="P35">
        <f t="shared" si="1"/>
        <v>18</v>
      </c>
    </row>
    <row r="36" spans="1:16" x14ac:dyDescent="0.2">
      <c r="A36" s="1">
        <v>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f t="shared" si="0"/>
        <v>0</v>
      </c>
      <c r="P36">
        <f t="shared" si="1"/>
        <v>0</v>
      </c>
    </row>
    <row r="37" spans="1:16" x14ac:dyDescent="0.2">
      <c r="A37" s="1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f t="shared" si="0"/>
        <v>0</v>
      </c>
      <c r="P37">
        <f t="shared" si="1"/>
        <v>0</v>
      </c>
    </row>
    <row r="38" spans="1:16" x14ac:dyDescent="0.2">
      <c r="A38" s="1">
        <v>79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f t="shared" si="0"/>
        <v>0</v>
      </c>
      <c r="P38">
        <f t="shared" si="1"/>
        <v>0</v>
      </c>
    </row>
    <row r="39" spans="1:16" x14ac:dyDescent="0.2">
      <c r="A39" s="1">
        <v>80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f t="shared" si="0"/>
        <v>0</v>
      </c>
      <c r="P39">
        <f t="shared" si="1"/>
        <v>0</v>
      </c>
    </row>
    <row r="40" spans="1:16" x14ac:dyDescent="0.2">
      <c r="A40" s="1">
        <v>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f t="shared" si="0"/>
        <v>0</v>
      </c>
      <c r="P40">
        <f t="shared" si="1"/>
        <v>0</v>
      </c>
    </row>
    <row r="41" spans="1:16" x14ac:dyDescent="0.2">
      <c r="A41" s="1">
        <v>82</v>
      </c>
      <c r="B41">
        <v>6.5</v>
      </c>
      <c r="C41">
        <v>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12</v>
      </c>
      <c r="M41">
        <v>0</v>
      </c>
      <c r="O41">
        <f t="shared" si="0"/>
        <v>0</v>
      </c>
      <c r="P41">
        <f t="shared" si="1"/>
        <v>9.5</v>
      </c>
    </row>
    <row r="42" spans="1:16" x14ac:dyDescent="0.2">
      <c r="A42" s="1">
        <v>86</v>
      </c>
      <c r="B42">
        <v>6.5</v>
      </c>
      <c r="C42">
        <v>10</v>
      </c>
      <c r="D42">
        <v>0</v>
      </c>
      <c r="E42">
        <v>0</v>
      </c>
      <c r="F42">
        <v>0</v>
      </c>
      <c r="G42">
        <v>0</v>
      </c>
      <c r="H42">
        <v>7.5</v>
      </c>
      <c r="I42">
        <v>115</v>
      </c>
      <c r="J42">
        <v>2</v>
      </c>
      <c r="K42">
        <v>3</v>
      </c>
      <c r="L42">
        <v>20</v>
      </c>
      <c r="M42">
        <v>0</v>
      </c>
      <c r="O42">
        <f t="shared" si="0"/>
        <v>2</v>
      </c>
      <c r="P42">
        <f t="shared" si="1"/>
        <v>17</v>
      </c>
    </row>
    <row r="43" spans="1:16" x14ac:dyDescent="0.2">
      <c r="A43" s="1">
        <v>90</v>
      </c>
      <c r="B43">
        <v>0</v>
      </c>
      <c r="C43">
        <v>0</v>
      </c>
      <c r="D43">
        <v>0</v>
      </c>
      <c r="E43">
        <v>6</v>
      </c>
      <c r="F43">
        <v>88</v>
      </c>
      <c r="G43">
        <v>1</v>
      </c>
      <c r="H43">
        <v>8</v>
      </c>
      <c r="I43">
        <v>77</v>
      </c>
      <c r="J43">
        <v>0</v>
      </c>
      <c r="K43">
        <v>0</v>
      </c>
      <c r="L43">
        <v>0</v>
      </c>
      <c r="M43">
        <v>0</v>
      </c>
      <c r="O43">
        <f t="shared" si="0"/>
        <v>1</v>
      </c>
      <c r="P43">
        <f t="shared" si="1"/>
        <v>14</v>
      </c>
    </row>
    <row r="44" spans="1:16" x14ac:dyDescent="0.2">
      <c r="A44" s="1">
        <v>91</v>
      </c>
      <c r="B44">
        <v>6.5</v>
      </c>
      <c r="C44">
        <v>16</v>
      </c>
      <c r="D44">
        <v>0</v>
      </c>
      <c r="E44">
        <v>3</v>
      </c>
      <c r="F44">
        <v>12</v>
      </c>
      <c r="G44">
        <v>0</v>
      </c>
      <c r="H44">
        <v>8</v>
      </c>
      <c r="I44">
        <v>100</v>
      </c>
      <c r="J44">
        <v>2</v>
      </c>
      <c r="K44">
        <v>0</v>
      </c>
      <c r="L44">
        <v>0</v>
      </c>
      <c r="M44">
        <v>0</v>
      </c>
      <c r="O44">
        <f t="shared" si="0"/>
        <v>2</v>
      </c>
      <c r="P44">
        <f t="shared" si="1"/>
        <v>17.5</v>
      </c>
    </row>
    <row r="45" spans="1:16" x14ac:dyDescent="0.2">
      <c r="A45" s="1">
        <v>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f t="shared" si="0"/>
        <v>0</v>
      </c>
      <c r="P45">
        <f t="shared" si="1"/>
        <v>0</v>
      </c>
    </row>
    <row r="46" spans="1:16" x14ac:dyDescent="0.2">
      <c r="A46" s="1">
        <v>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f t="shared" si="0"/>
        <v>0</v>
      </c>
      <c r="P46">
        <f t="shared" si="1"/>
        <v>0</v>
      </c>
    </row>
    <row r="47" spans="1:16" x14ac:dyDescent="0.2">
      <c r="A47" s="1">
        <v>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f t="shared" si="0"/>
        <v>0</v>
      </c>
      <c r="P47">
        <f t="shared" si="1"/>
        <v>0</v>
      </c>
    </row>
    <row r="48" spans="1:16" x14ac:dyDescent="0.2">
      <c r="A48" s="1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f t="shared" si="0"/>
        <v>0</v>
      </c>
      <c r="P48">
        <f t="shared" si="1"/>
        <v>0</v>
      </c>
    </row>
    <row r="49" spans="1:16" x14ac:dyDescent="0.2">
      <c r="A49" s="1">
        <v>97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f t="shared" si="0"/>
        <v>0</v>
      </c>
      <c r="P49">
        <f t="shared" si="1"/>
        <v>0</v>
      </c>
    </row>
    <row r="50" spans="1:16" x14ac:dyDescent="0.2">
      <c r="A50" s="1">
        <v>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f t="shared" si="0"/>
        <v>0</v>
      </c>
      <c r="P50">
        <f t="shared" si="1"/>
        <v>0</v>
      </c>
    </row>
    <row r="51" spans="1:16" x14ac:dyDescent="0.2">
      <c r="A51" s="1">
        <v>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f t="shared" si="0"/>
        <v>0</v>
      </c>
      <c r="P51">
        <f t="shared" si="1"/>
        <v>0</v>
      </c>
    </row>
    <row r="53" spans="1:16" x14ac:dyDescent="0.2">
      <c r="A53" t="s">
        <v>4</v>
      </c>
      <c r="C53">
        <f>SUM(C2:C51)</f>
        <v>1238</v>
      </c>
      <c r="F53">
        <f>SUM(F2:F51)</f>
        <v>1728</v>
      </c>
      <c r="I53">
        <f>SUM(I2:I51)</f>
        <v>1623</v>
      </c>
      <c r="L53">
        <f>SUM(L2:L51)</f>
        <v>1197</v>
      </c>
    </row>
    <row r="54" spans="1:16" x14ac:dyDescent="0.2">
      <c r="E54" t="s">
        <v>7</v>
      </c>
      <c r="H54" t="s">
        <v>9</v>
      </c>
      <c r="K5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A045-642A-744A-AD0E-DCBA36B8182D}">
  <dimension ref="A1:M51"/>
  <sheetViews>
    <sheetView tabSelected="1" zoomScale="125" workbookViewId="0">
      <selection activeCell="A20" sqref="A20"/>
    </sheetView>
  </sheetViews>
  <sheetFormatPr baseColWidth="10" defaultRowHeight="16" x14ac:dyDescent="0.2"/>
  <cols>
    <col min="1" max="1" width="15" customWidth="1"/>
    <col min="8" max="9" width="12" bestFit="1" customWidth="1"/>
    <col min="12" max="13" width="14.1640625" bestFit="1" customWidth="1"/>
  </cols>
  <sheetData>
    <row r="1" spans="1:13" x14ac:dyDescent="0.2">
      <c r="B1" t="s">
        <v>15</v>
      </c>
      <c r="C1" t="s">
        <v>16</v>
      </c>
      <c r="D1" t="s">
        <v>17</v>
      </c>
      <c r="G1" t="s">
        <v>18</v>
      </c>
      <c r="H1" t="s">
        <v>25</v>
      </c>
      <c r="I1" t="s">
        <v>26</v>
      </c>
      <c r="K1" t="s">
        <v>5</v>
      </c>
      <c r="L1" t="s">
        <v>27</v>
      </c>
      <c r="M1" t="s">
        <v>28</v>
      </c>
    </row>
    <row r="2" spans="1:13" x14ac:dyDescent="0.2">
      <c r="A2" t="s">
        <v>4</v>
      </c>
      <c r="B2">
        <v>1109</v>
      </c>
      <c r="C2">
        <v>1238</v>
      </c>
      <c r="D2">
        <v>1238</v>
      </c>
      <c r="G2">
        <v>9.5</v>
      </c>
      <c r="H2">
        <v>9.5</v>
      </c>
      <c r="I2">
        <v>16.5</v>
      </c>
      <c r="K2">
        <v>0</v>
      </c>
      <c r="L2">
        <v>0</v>
      </c>
      <c r="M2">
        <v>2</v>
      </c>
    </row>
    <row r="3" spans="1:13" x14ac:dyDescent="0.2">
      <c r="B3">
        <v>1561</v>
      </c>
      <c r="C3">
        <v>1680</v>
      </c>
      <c r="D3">
        <v>1728</v>
      </c>
      <c r="G3">
        <v>0</v>
      </c>
      <c r="H3">
        <v>0</v>
      </c>
      <c r="I3">
        <v>6</v>
      </c>
      <c r="K3">
        <v>0</v>
      </c>
      <c r="L3">
        <v>0</v>
      </c>
      <c r="M3">
        <v>2</v>
      </c>
    </row>
    <row r="4" spans="1:13" x14ac:dyDescent="0.2">
      <c r="B4">
        <v>1298</v>
      </c>
      <c r="C4">
        <v>1352</v>
      </c>
      <c r="D4">
        <v>1623</v>
      </c>
      <c r="G4">
        <v>0</v>
      </c>
      <c r="H4">
        <v>13</v>
      </c>
      <c r="I4">
        <v>6</v>
      </c>
      <c r="K4">
        <v>0</v>
      </c>
      <c r="L4">
        <v>3</v>
      </c>
      <c r="M4">
        <v>1</v>
      </c>
    </row>
    <row r="5" spans="1:13" x14ac:dyDescent="0.2">
      <c r="B5">
        <v>990</v>
      </c>
      <c r="C5">
        <v>1035</v>
      </c>
      <c r="D5">
        <v>1197</v>
      </c>
      <c r="G5">
        <v>0</v>
      </c>
      <c r="H5">
        <v>0</v>
      </c>
      <c r="I5">
        <v>10</v>
      </c>
      <c r="K5">
        <v>0</v>
      </c>
      <c r="L5">
        <v>0</v>
      </c>
      <c r="M5">
        <v>2</v>
      </c>
    </row>
    <row r="6" spans="1:13" x14ac:dyDescent="0.2">
      <c r="A6" t="s">
        <v>23</v>
      </c>
      <c r="B6">
        <f>SUM(B2:B5)</f>
        <v>4958</v>
      </c>
      <c r="C6">
        <f t="shared" ref="C6:D6" si="0">SUM(C2:C5)</f>
        <v>5305</v>
      </c>
      <c r="D6">
        <f t="shared" si="0"/>
        <v>5786</v>
      </c>
      <c r="G6">
        <v>0</v>
      </c>
      <c r="H6">
        <v>0</v>
      </c>
      <c r="I6">
        <v>4.5</v>
      </c>
      <c r="K6">
        <v>0</v>
      </c>
      <c r="L6">
        <v>0</v>
      </c>
      <c r="M6">
        <v>2</v>
      </c>
    </row>
    <row r="7" spans="1:13" x14ac:dyDescent="0.2">
      <c r="A7" t="s">
        <v>24</v>
      </c>
      <c r="C7">
        <f>(C6-B6)/B6</f>
        <v>6.9987898346107302E-2</v>
      </c>
      <c r="D7">
        <f>(D6-C6)/C6</f>
        <v>9.0669180018850146E-2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</row>
    <row r="8" spans="1:13" x14ac:dyDescent="0.2">
      <c r="G8">
        <v>0</v>
      </c>
      <c r="H8">
        <v>0</v>
      </c>
      <c r="I8">
        <v>0</v>
      </c>
      <c r="K8">
        <v>0</v>
      </c>
      <c r="L8">
        <v>0</v>
      </c>
      <c r="M8">
        <v>0</v>
      </c>
    </row>
    <row r="9" spans="1:13" x14ac:dyDescent="0.2">
      <c r="A9" t="s">
        <v>19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</row>
    <row r="10" spans="1:13" x14ac:dyDescent="0.2">
      <c r="A10" t="s">
        <v>29</v>
      </c>
      <c r="B10">
        <f>MAX(G:G)</f>
        <v>62.5</v>
      </c>
      <c r="C10">
        <f>MAX(H:H)</f>
        <v>34</v>
      </c>
      <c r="D10">
        <f>MAX(I:I)</f>
        <v>31</v>
      </c>
      <c r="G10">
        <v>50.5</v>
      </c>
      <c r="H10">
        <v>28.5</v>
      </c>
      <c r="I10">
        <v>24</v>
      </c>
      <c r="K10">
        <v>17</v>
      </c>
      <c r="L10">
        <v>12</v>
      </c>
      <c r="M10">
        <v>3</v>
      </c>
    </row>
    <row r="11" spans="1:13" x14ac:dyDescent="0.2">
      <c r="A11" t="s">
        <v>21</v>
      </c>
      <c r="B11">
        <f>_xlfn.VAR.S(G:G)</f>
        <v>309.40622448979587</v>
      </c>
      <c r="C11">
        <f>_xlfn.VAR.S(H:H)</f>
        <v>178.81438775510202</v>
      </c>
      <c r="D11">
        <f>_xlfn.VAR.S(I:I)</f>
        <v>140.66132653061223</v>
      </c>
      <c r="G11">
        <v>30</v>
      </c>
      <c r="H11">
        <v>33</v>
      </c>
      <c r="I11">
        <v>20.5</v>
      </c>
      <c r="K11">
        <v>6</v>
      </c>
      <c r="L11">
        <v>11</v>
      </c>
      <c r="M11">
        <v>3</v>
      </c>
    </row>
    <row r="12" spans="1:13" x14ac:dyDescent="0.2">
      <c r="G12">
        <v>4.5</v>
      </c>
      <c r="H12">
        <v>32</v>
      </c>
      <c r="I12">
        <v>30.5</v>
      </c>
      <c r="K12">
        <v>0</v>
      </c>
      <c r="L12">
        <v>4</v>
      </c>
      <c r="M12">
        <v>3</v>
      </c>
    </row>
    <row r="13" spans="1:13" x14ac:dyDescent="0.2">
      <c r="A13" t="s">
        <v>22</v>
      </c>
      <c r="G13">
        <v>0</v>
      </c>
      <c r="H13">
        <v>16.5</v>
      </c>
      <c r="I13">
        <v>11</v>
      </c>
      <c r="K13">
        <v>0</v>
      </c>
      <c r="L13">
        <v>2</v>
      </c>
      <c r="M13">
        <v>1</v>
      </c>
    </row>
    <row r="14" spans="1:13" x14ac:dyDescent="0.2">
      <c r="A14" t="s">
        <v>20</v>
      </c>
      <c r="B14">
        <f>MAX(K:K)</f>
        <v>17</v>
      </c>
      <c r="C14">
        <f>MAX(L:L)</f>
        <v>12</v>
      </c>
      <c r="D14">
        <f>MAX(M:M)</f>
        <v>3</v>
      </c>
      <c r="G14">
        <v>0</v>
      </c>
      <c r="H14">
        <v>0</v>
      </c>
      <c r="I14">
        <v>5.5</v>
      </c>
      <c r="K14">
        <v>0</v>
      </c>
      <c r="L14">
        <v>0</v>
      </c>
      <c r="M14">
        <v>1</v>
      </c>
    </row>
    <row r="15" spans="1:13" x14ac:dyDescent="0.2">
      <c r="A15" t="s">
        <v>21</v>
      </c>
      <c r="B15">
        <f>_xlfn.VAR.S(K:K)</f>
        <v>10.612244897959183</v>
      </c>
      <c r="C15">
        <f>_xlfn.VAR.S(L:L)</f>
        <v>6.0408163265306118</v>
      </c>
      <c r="D15">
        <f>_xlfn.VAR.S(M:M)</f>
        <v>0.97959183673469385</v>
      </c>
      <c r="G15">
        <v>6</v>
      </c>
      <c r="H15">
        <v>13</v>
      </c>
      <c r="I15">
        <v>18</v>
      </c>
      <c r="K15">
        <v>0</v>
      </c>
      <c r="L15">
        <v>0</v>
      </c>
      <c r="M15">
        <v>0</v>
      </c>
    </row>
    <row r="16" spans="1:13" x14ac:dyDescent="0.2">
      <c r="A16" t="s">
        <v>30</v>
      </c>
      <c r="G16">
        <v>6</v>
      </c>
      <c r="H16">
        <v>4.5</v>
      </c>
      <c r="I16">
        <v>13.5</v>
      </c>
      <c r="K16">
        <v>0</v>
      </c>
      <c r="L16">
        <v>0</v>
      </c>
      <c r="M16">
        <v>0</v>
      </c>
    </row>
    <row r="17" spans="1:13" x14ac:dyDescent="0.2">
      <c r="A17" t="s">
        <v>31</v>
      </c>
      <c r="G17">
        <v>0</v>
      </c>
      <c r="H17">
        <v>6</v>
      </c>
      <c r="I17">
        <v>0</v>
      </c>
      <c r="K17">
        <v>0</v>
      </c>
      <c r="L17">
        <v>0</v>
      </c>
      <c r="M17">
        <v>0</v>
      </c>
    </row>
    <row r="18" spans="1:13" x14ac:dyDescent="0.2">
      <c r="A18" t="s">
        <v>32</v>
      </c>
      <c r="G18">
        <v>0</v>
      </c>
      <c r="H18">
        <v>0</v>
      </c>
      <c r="I18">
        <v>0</v>
      </c>
      <c r="K18">
        <v>0</v>
      </c>
      <c r="L18">
        <v>0</v>
      </c>
      <c r="M18">
        <v>0</v>
      </c>
    </row>
    <row r="19" spans="1:13" x14ac:dyDescent="0.2">
      <c r="G19">
        <v>48.5</v>
      </c>
      <c r="H19">
        <v>32.5</v>
      </c>
      <c r="I19">
        <v>28.5</v>
      </c>
      <c r="K19">
        <v>0</v>
      </c>
      <c r="L19">
        <v>0</v>
      </c>
      <c r="M19">
        <v>1</v>
      </c>
    </row>
    <row r="20" spans="1:13" x14ac:dyDescent="0.2">
      <c r="G20">
        <v>54.5</v>
      </c>
      <c r="H20">
        <v>33</v>
      </c>
      <c r="I20">
        <v>30</v>
      </c>
      <c r="K20">
        <v>0</v>
      </c>
      <c r="L20">
        <v>0</v>
      </c>
      <c r="M20">
        <v>1</v>
      </c>
    </row>
    <row r="21" spans="1:13" x14ac:dyDescent="0.2">
      <c r="G21">
        <v>42.5</v>
      </c>
      <c r="H21">
        <v>30.5</v>
      </c>
      <c r="I21">
        <v>27.5</v>
      </c>
      <c r="K21">
        <v>0</v>
      </c>
      <c r="L21">
        <v>0</v>
      </c>
      <c r="M21">
        <v>1</v>
      </c>
    </row>
    <row r="22" spans="1:13" x14ac:dyDescent="0.2">
      <c r="G22">
        <v>20.5</v>
      </c>
      <c r="H22">
        <v>20.5</v>
      </c>
      <c r="I22">
        <v>20</v>
      </c>
      <c r="K22">
        <v>0</v>
      </c>
      <c r="L22">
        <v>0</v>
      </c>
      <c r="M22">
        <v>0</v>
      </c>
    </row>
    <row r="23" spans="1:13" x14ac:dyDescent="0.2">
      <c r="G23">
        <v>28</v>
      </c>
      <c r="H23">
        <v>22.5</v>
      </c>
      <c r="I23">
        <v>22.5</v>
      </c>
      <c r="K23">
        <v>0</v>
      </c>
      <c r="L23">
        <v>0</v>
      </c>
      <c r="M23">
        <v>0</v>
      </c>
    </row>
    <row r="24" spans="1:13" x14ac:dyDescent="0.2">
      <c r="G24">
        <v>21</v>
      </c>
      <c r="H24">
        <v>21</v>
      </c>
      <c r="I24">
        <v>21.5</v>
      </c>
      <c r="K24">
        <v>0</v>
      </c>
      <c r="L24">
        <v>0</v>
      </c>
      <c r="M24">
        <v>0</v>
      </c>
    </row>
    <row r="25" spans="1:13" x14ac:dyDescent="0.2">
      <c r="G25">
        <v>27.5</v>
      </c>
      <c r="H25">
        <v>34</v>
      </c>
      <c r="I25">
        <v>30.5</v>
      </c>
      <c r="K25">
        <v>0</v>
      </c>
      <c r="L25">
        <v>0</v>
      </c>
      <c r="M25">
        <v>2</v>
      </c>
    </row>
    <row r="26" spans="1:13" x14ac:dyDescent="0.2">
      <c r="G26">
        <v>24</v>
      </c>
      <c r="H26">
        <v>34</v>
      </c>
      <c r="I26">
        <v>30.5</v>
      </c>
      <c r="K26">
        <v>0</v>
      </c>
      <c r="L26">
        <v>0</v>
      </c>
      <c r="M26">
        <v>2</v>
      </c>
    </row>
    <row r="27" spans="1:13" x14ac:dyDescent="0.2">
      <c r="G27">
        <v>19.5</v>
      </c>
      <c r="H27">
        <v>23.5</v>
      </c>
      <c r="I27">
        <v>31</v>
      </c>
      <c r="K27">
        <v>1</v>
      </c>
      <c r="L27">
        <v>0</v>
      </c>
      <c r="M27">
        <v>1</v>
      </c>
    </row>
    <row r="28" spans="1:13" x14ac:dyDescent="0.2">
      <c r="G28">
        <v>62.5</v>
      </c>
      <c r="H28">
        <v>30</v>
      </c>
      <c r="I28">
        <v>23.5</v>
      </c>
      <c r="K28">
        <v>15</v>
      </c>
      <c r="L28">
        <v>3</v>
      </c>
      <c r="M28">
        <v>1</v>
      </c>
    </row>
    <row r="29" spans="1:13" x14ac:dyDescent="0.2">
      <c r="G29">
        <v>18</v>
      </c>
      <c r="H29">
        <v>30.5</v>
      </c>
      <c r="I29">
        <v>26.5</v>
      </c>
      <c r="K29">
        <v>0</v>
      </c>
      <c r="L29">
        <v>0</v>
      </c>
      <c r="M29">
        <v>2</v>
      </c>
    </row>
    <row r="30" spans="1:13" x14ac:dyDescent="0.2">
      <c r="G30">
        <v>41.5</v>
      </c>
      <c r="H30">
        <v>32.5</v>
      </c>
      <c r="I30">
        <v>29.5</v>
      </c>
      <c r="K30">
        <v>0</v>
      </c>
      <c r="L30">
        <v>0</v>
      </c>
      <c r="M30">
        <v>0</v>
      </c>
    </row>
    <row r="31" spans="1:13" x14ac:dyDescent="0.2">
      <c r="G31">
        <v>42.5</v>
      </c>
      <c r="H31">
        <v>32</v>
      </c>
      <c r="I31">
        <v>30</v>
      </c>
      <c r="K31">
        <v>0</v>
      </c>
      <c r="L31">
        <v>0</v>
      </c>
      <c r="M31">
        <v>2</v>
      </c>
    </row>
    <row r="32" spans="1:13" x14ac:dyDescent="0.2"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</row>
    <row r="33" spans="7:13" x14ac:dyDescent="0.2"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</row>
    <row r="34" spans="7:13" x14ac:dyDescent="0.2"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</row>
    <row r="35" spans="7:13" x14ac:dyDescent="0.2">
      <c r="G35">
        <v>6</v>
      </c>
      <c r="H35">
        <v>23.5</v>
      </c>
      <c r="I35">
        <v>18</v>
      </c>
      <c r="K35">
        <v>1</v>
      </c>
      <c r="L35">
        <v>5</v>
      </c>
      <c r="M35">
        <v>2</v>
      </c>
    </row>
    <row r="36" spans="7:13" x14ac:dyDescent="0.2"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</row>
    <row r="37" spans="7:13" x14ac:dyDescent="0.2"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</row>
    <row r="38" spans="7:13" x14ac:dyDescent="0.2"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</row>
    <row r="39" spans="7:13" x14ac:dyDescent="0.2"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</row>
    <row r="40" spans="7:13" x14ac:dyDescent="0.2"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</row>
    <row r="41" spans="7:13" x14ac:dyDescent="0.2">
      <c r="G41">
        <v>9.5</v>
      </c>
      <c r="H41">
        <v>9.5</v>
      </c>
      <c r="I41">
        <v>9.5</v>
      </c>
      <c r="K41">
        <v>0</v>
      </c>
      <c r="L41">
        <v>0</v>
      </c>
      <c r="M41">
        <v>0</v>
      </c>
    </row>
    <row r="42" spans="7:13" x14ac:dyDescent="0.2">
      <c r="G42">
        <v>9.5</v>
      </c>
      <c r="H42">
        <v>9.5</v>
      </c>
      <c r="I42">
        <v>17</v>
      </c>
      <c r="K42">
        <v>0</v>
      </c>
      <c r="L42">
        <v>0</v>
      </c>
      <c r="M42">
        <v>2</v>
      </c>
    </row>
    <row r="43" spans="7:13" x14ac:dyDescent="0.2">
      <c r="G43">
        <v>1</v>
      </c>
      <c r="H43">
        <v>8</v>
      </c>
      <c r="I43">
        <v>14</v>
      </c>
      <c r="K43">
        <v>0</v>
      </c>
      <c r="L43">
        <v>0</v>
      </c>
      <c r="M43">
        <v>1</v>
      </c>
    </row>
    <row r="44" spans="7:13" x14ac:dyDescent="0.2">
      <c r="G44">
        <v>10.5</v>
      </c>
      <c r="H44">
        <v>10.5</v>
      </c>
      <c r="I44">
        <v>17.5</v>
      </c>
      <c r="K44">
        <v>0</v>
      </c>
      <c r="L44">
        <v>0</v>
      </c>
      <c r="M44">
        <v>2</v>
      </c>
    </row>
    <row r="45" spans="7:13" x14ac:dyDescent="0.2"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</row>
    <row r="46" spans="7:13" x14ac:dyDescent="0.2"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</row>
    <row r="47" spans="7:13" x14ac:dyDescent="0.2"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</row>
    <row r="48" spans="7:13" x14ac:dyDescent="0.2"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</row>
    <row r="49" spans="7:13" x14ac:dyDescent="0.2"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</row>
    <row r="50" spans="7:13" x14ac:dyDescent="0.2"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</row>
    <row r="51" spans="7:13" x14ac:dyDescent="0.2"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m0</vt:lpstr>
      <vt:lpstr>m1-lam1</vt:lpstr>
      <vt:lpstr>m2-lam1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2026-03-26T16:20:31Z</dcterms:created>
  <dcterms:modified xsi:type="dcterms:W3CDTF">2026-04-02T22:25:57Z</dcterms:modified>
</cp:coreProperties>
</file>