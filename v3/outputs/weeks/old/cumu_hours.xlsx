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v3/outputs/weeks/"/>
    </mc:Choice>
  </mc:AlternateContent>
  <xr:revisionPtr revIDLastSave="0" documentId="13_ncr:1_{96403799-26AB-B349-88B2-24510547E61B}" xr6:coauthVersionLast="47" xr6:coauthVersionMax="47" xr10:uidLastSave="{00000000-0000-0000-0000-000000000000}"/>
  <bookViews>
    <workbookView xWindow="20" yWindow="660" windowWidth="30240" windowHeight="18980" activeTab="4" xr2:uid="{24D611D9-9A96-2049-9FDE-D137A1899E8F}"/>
  </bookViews>
  <sheets>
    <sheet name="working_hours_by_nurse" sheetId="1" r:id="rId1"/>
    <sheet name="myopic" sheetId="2" r:id="rId2"/>
    <sheet name="baseline" sheetId="3" r:id="rId3"/>
    <sheet name="travel_cost" sheetId="4" r:id="rId4"/>
    <sheet name="leaders_by_nurse" sheetId="10" r:id="rId5"/>
    <sheet name="leaders_by_nurse_old" sheetId="6" r:id="rId6"/>
    <sheet name="baseline_leader" sheetId="7" r:id="rId7"/>
    <sheet name="myopic_leader" sheetId="8" r:id="rId8"/>
    <sheet name="Sheet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2" i="10"/>
  <c r="I1" i="10"/>
  <c r="B5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2" i="6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2" i="7"/>
  <c r="F4" i="4"/>
  <c r="F8" i="4" s="1"/>
  <c r="F3" i="4"/>
  <c r="F7" i="4" s="1"/>
  <c r="F2" i="4"/>
  <c r="C11" i="4"/>
  <c r="D11" i="4"/>
  <c r="E11" i="4"/>
  <c r="B11" i="4"/>
  <c r="J53" i="4"/>
  <c r="K53" i="4"/>
  <c r="I53" i="4"/>
  <c r="C8" i="4"/>
  <c r="D8" i="4"/>
  <c r="E8" i="4"/>
  <c r="C7" i="4"/>
  <c r="D7" i="4"/>
  <c r="E7" i="4"/>
  <c r="B8" i="4"/>
  <c r="B7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F11" i="4" l="1"/>
</calcChain>
</file>

<file path=xl/sharedStrings.xml><?xml version="1.0" encoding="utf-8"?>
<sst xmlns="http://schemas.openxmlformats.org/spreadsheetml/2006/main" count="210" uniqueCount="26">
  <si>
    <t>Index</t>
  </si>
  <si>
    <t>seed42</t>
  </si>
  <si>
    <t>cumulative</t>
  </si>
  <si>
    <t>Cumulative</t>
  </si>
  <si>
    <t>seed43, penalty = 0.005</t>
  </si>
  <si>
    <t>seed44, penalty = 0.005</t>
  </si>
  <si>
    <t>seed45 penalty = 0.005</t>
  </si>
  <si>
    <t>seed43</t>
  </si>
  <si>
    <t>seed44</t>
  </si>
  <si>
    <t>seed45</t>
  </si>
  <si>
    <t>baseline</t>
  </si>
  <si>
    <t>myopic</t>
  </si>
  <si>
    <t>week1 (seed42)</t>
  </si>
  <si>
    <t>week2 (seed43</t>
  </si>
  <si>
    <t>week3 (seed44)</t>
  </si>
  <si>
    <t>week4 (seed45)</t>
  </si>
  <si>
    <t>variance</t>
  </si>
  <si>
    <t>percentage difference relative to baseline</t>
  </si>
  <si>
    <t>percentage difference relative to myopic</t>
  </si>
  <si>
    <t>total</t>
  </si>
  <si>
    <t>sum</t>
  </si>
  <si>
    <r>
      <t>0.0</t>
    </r>
    <r>
      <rPr>
        <sz val="12"/>
        <color rgb="FFF8F8F2"/>
        <rFont val="Menlo"/>
        <family val="2"/>
      </rPr>
      <t>,</t>
    </r>
  </si>
  <si>
    <r>
      <t>1.0</t>
    </r>
    <r>
      <rPr>
        <sz val="12"/>
        <color rgb="FFF8F8F2"/>
        <rFont val="Menlo"/>
        <family val="2"/>
      </rPr>
      <t>,</t>
    </r>
  </si>
  <si>
    <r>
      <t>3.0</t>
    </r>
    <r>
      <rPr>
        <sz val="12"/>
        <color rgb="FFF8F8F2"/>
        <rFont val="Menlo"/>
        <family val="2"/>
      </rPr>
      <t>,</t>
    </r>
  </si>
  <si>
    <r>
      <t>2.0</t>
    </r>
    <r>
      <rPr>
        <sz val="12"/>
        <color rgb="FFF8F8F2"/>
        <rFont val="Menlo"/>
        <family val="2"/>
      </rPr>
      <t>,</t>
    </r>
  </si>
  <si>
    <t>travel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</si>
</sst>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sz val="12"/>
      <color rgb="FFAE81F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745D-EEF5-E64C-9D33-7F0298203498}">
  <dimension ref="A1:F51"/>
  <sheetViews>
    <sheetView zoomScale="138" workbookViewId="0">
      <selection sqref="A1:A1048576"/>
    </sheetView>
  </sheetViews>
  <sheetFormatPr baseColWidth="10" defaultRowHeight="16" x14ac:dyDescent="0.2"/>
  <cols>
    <col min="4" max="4" width="20.1640625" bestFit="1" customWidth="1"/>
  </cols>
  <sheetData>
    <row r="1" spans="1:6" x14ac:dyDescent="0.2">
      <c r="A1" s="1" t="s">
        <v>0</v>
      </c>
      <c r="B1" t="s">
        <v>3</v>
      </c>
      <c r="C1" t="s">
        <v>1</v>
      </c>
      <c r="D1" t="s">
        <v>4</v>
      </c>
      <c r="E1" t="s">
        <v>5</v>
      </c>
      <c r="F1" t="s">
        <v>6</v>
      </c>
    </row>
    <row r="2" spans="1:6" x14ac:dyDescent="0.2">
      <c r="A2" s="1">
        <v>1</v>
      </c>
      <c r="B2">
        <f>SUM(C2:F2)</f>
        <v>6.5</v>
      </c>
      <c r="C2">
        <v>6.5</v>
      </c>
      <c r="D2">
        <v>0</v>
      </c>
      <c r="E2">
        <v>0</v>
      </c>
      <c r="F2">
        <v>0</v>
      </c>
    </row>
    <row r="3" spans="1:6" x14ac:dyDescent="0.2">
      <c r="A3" s="1">
        <v>2</v>
      </c>
      <c r="B3">
        <f t="shared" ref="B3:B51" si="0">SUM(C3:F3)</f>
        <v>3</v>
      </c>
      <c r="C3">
        <v>0</v>
      </c>
      <c r="D3">
        <v>3</v>
      </c>
      <c r="E3">
        <v>0</v>
      </c>
      <c r="F3">
        <v>0</v>
      </c>
    </row>
    <row r="4" spans="1:6" x14ac:dyDescent="0.2">
      <c r="A4" s="1">
        <v>3</v>
      </c>
      <c r="B4">
        <f t="shared" si="0"/>
        <v>20</v>
      </c>
      <c r="C4">
        <v>0</v>
      </c>
      <c r="D4">
        <v>14</v>
      </c>
      <c r="E4">
        <v>6</v>
      </c>
      <c r="F4">
        <v>0</v>
      </c>
    </row>
    <row r="5" spans="1:6" x14ac:dyDescent="0.2">
      <c r="A5" s="1">
        <v>8</v>
      </c>
      <c r="B5">
        <f t="shared" si="0"/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21</v>
      </c>
      <c r="B10">
        <f t="shared" si="0"/>
        <v>19</v>
      </c>
      <c r="C10">
        <v>8.5</v>
      </c>
      <c r="D10">
        <v>7.5</v>
      </c>
      <c r="E10">
        <v>1</v>
      </c>
      <c r="F10">
        <v>2</v>
      </c>
    </row>
    <row r="11" spans="1:6" x14ac:dyDescent="0.2">
      <c r="A11" s="1">
        <v>22</v>
      </c>
      <c r="B11">
        <f t="shared" si="0"/>
        <v>15.5</v>
      </c>
      <c r="C11">
        <v>6.5</v>
      </c>
      <c r="D11">
        <v>0</v>
      </c>
      <c r="E11">
        <v>0</v>
      </c>
      <c r="F11">
        <v>9</v>
      </c>
    </row>
    <row r="12" spans="1:6" x14ac:dyDescent="0.2">
      <c r="A12" s="1">
        <v>25</v>
      </c>
      <c r="B12">
        <f t="shared" si="0"/>
        <v>39</v>
      </c>
      <c r="C12">
        <v>0</v>
      </c>
      <c r="D12">
        <v>22.5</v>
      </c>
      <c r="E12">
        <v>16.5</v>
      </c>
      <c r="F12">
        <v>0</v>
      </c>
    </row>
    <row r="13" spans="1:6" x14ac:dyDescent="0.2">
      <c r="A13" s="1">
        <v>28</v>
      </c>
      <c r="B13">
        <f t="shared" si="0"/>
        <v>5.5</v>
      </c>
      <c r="C13">
        <v>0</v>
      </c>
      <c r="D13">
        <v>0</v>
      </c>
      <c r="E13">
        <v>0</v>
      </c>
      <c r="F13">
        <v>5.5</v>
      </c>
    </row>
    <row r="14" spans="1:6" x14ac:dyDescent="0.2">
      <c r="A14" s="1">
        <v>30</v>
      </c>
      <c r="B14">
        <f t="shared" si="0"/>
        <v>5.5</v>
      </c>
      <c r="C14">
        <v>0</v>
      </c>
      <c r="D14">
        <v>0</v>
      </c>
      <c r="E14">
        <v>0</v>
      </c>
      <c r="F14">
        <v>5.5</v>
      </c>
    </row>
    <row r="15" spans="1:6" x14ac:dyDescent="0.2">
      <c r="A15" s="1">
        <v>33</v>
      </c>
      <c r="B15">
        <f t="shared" si="0"/>
        <v>6</v>
      </c>
      <c r="C15">
        <v>0</v>
      </c>
      <c r="D15">
        <v>6</v>
      </c>
      <c r="E15">
        <v>0</v>
      </c>
      <c r="F15">
        <v>0</v>
      </c>
    </row>
    <row r="16" spans="1:6" x14ac:dyDescent="0.2">
      <c r="A16" s="1">
        <v>35</v>
      </c>
      <c r="B16">
        <f t="shared" si="0"/>
        <v>4.5</v>
      </c>
      <c r="C16">
        <v>0</v>
      </c>
      <c r="D16">
        <v>4.5</v>
      </c>
      <c r="E16">
        <v>0</v>
      </c>
      <c r="F16">
        <v>0</v>
      </c>
    </row>
    <row r="17" spans="1:6" x14ac:dyDescent="0.2">
      <c r="A17" s="1">
        <v>37</v>
      </c>
      <c r="B17">
        <f t="shared" si="0"/>
        <v>6</v>
      </c>
      <c r="C17">
        <v>0</v>
      </c>
      <c r="D17">
        <v>6</v>
      </c>
      <c r="E17">
        <v>0</v>
      </c>
      <c r="F17">
        <v>0</v>
      </c>
    </row>
    <row r="18" spans="1:6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44</v>
      </c>
      <c r="B19">
        <f t="shared" si="0"/>
        <v>46</v>
      </c>
      <c r="C19">
        <v>10.5</v>
      </c>
      <c r="D19">
        <v>13</v>
      </c>
      <c r="E19">
        <v>19.5</v>
      </c>
      <c r="F19">
        <v>3</v>
      </c>
    </row>
    <row r="20" spans="1:6" x14ac:dyDescent="0.2">
      <c r="A20" s="1">
        <v>47</v>
      </c>
      <c r="B20">
        <f t="shared" si="0"/>
        <v>35.5</v>
      </c>
      <c r="C20">
        <v>17</v>
      </c>
      <c r="D20">
        <v>7</v>
      </c>
      <c r="E20">
        <v>9</v>
      </c>
      <c r="F20">
        <v>2.5</v>
      </c>
    </row>
    <row r="21" spans="1:6" x14ac:dyDescent="0.2">
      <c r="A21" s="1">
        <v>49</v>
      </c>
      <c r="B21">
        <f t="shared" si="0"/>
        <v>40</v>
      </c>
      <c r="C21">
        <v>10</v>
      </c>
      <c r="D21">
        <v>12.5</v>
      </c>
      <c r="E21">
        <v>15</v>
      </c>
      <c r="F21">
        <v>2.5</v>
      </c>
    </row>
    <row r="22" spans="1:6" x14ac:dyDescent="0.2">
      <c r="A22" s="1">
        <v>56</v>
      </c>
      <c r="B22">
        <f t="shared" si="0"/>
        <v>25</v>
      </c>
      <c r="C22">
        <v>2</v>
      </c>
      <c r="D22">
        <v>14.5</v>
      </c>
      <c r="E22">
        <v>6</v>
      </c>
      <c r="F22">
        <v>2.5</v>
      </c>
    </row>
    <row r="23" spans="1:6" x14ac:dyDescent="0.2">
      <c r="A23" s="1">
        <v>58</v>
      </c>
      <c r="B23">
        <f t="shared" si="0"/>
        <v>27.5</v>
      </c>
      <c r="C23">
        <v>5</v>
      </c>
      <c r="D23">
        <v>14.5</v>
      </c>
      <c r="E23">
        <v>6</v>
      </c>
      <c r="F23">
        <v>2</v>
      </c>
    </row>
    <row r="24" spans="1:6" x14ac:dyDescent="0.2">
      <c r="A24" s="1">
        <v>60</v>
      </c>
      <c r="B24">
        <f t="shared" si="0"/>
        <v>21.5</v>
      </c>
      <c r="C24">
        <v>5</v>
      </c>
      <c r="D24">
        <v>10</v>
      </c>
      <c r="E24">
        <v>6</v>
      </c>
      <c r="F24">
        <v>0.5</v>
      </c>
    </row>
    <row r="25" spans="1:6" x14ac:dyDescent="0.2">
      <c r="A25" s="1">
        <v>61</v>
      </c>
      <c r="B25">
        <f t="shared" si="0"/>
        <v>31.5</v>
      </c>
      <c r="C25">
        <v>4</v>
      </c>
      <c r="D25">
        <v>10</v>
      </c>
      <c r="E25">
        <v>17.5</v>
      </c>
      <c r="F25">
        <v>0</v>
      </c>
    </row>
    <row r="26" spans="1:6" x14ac:dyDescent="0.2">
      <c r="A26" s="1">
        <v>62</v>
      </c>
      <c r="B26">
        <f t="shared" si="0"/>
        <v>25</v>
      </c>
      <c r="C26">
        <v>3</v>
      </c>
      <c r="D26">
        <v>10</v>
      </c>
      <c r="E26">
        <v>12</v>
      </c>
      <c r="F26">
        <v>0</v>
      </c>
    </row>
    <row r="27" spans="1:6" x14ac:dyDescent="0.2">
      <c r="A27" s="1">
        <v>63</v>
      </c>
      <c r="B27">
        <f t="shared" si="0"/>
        <v>32.5</v>
      </c>
      <c r="C27">
        <v>3</v>
      </c>
      <c r="D27">
        <v>13</v>
      </c>
      <c r="E27">
        <v>16.5</v>
      </c>
      <c r="F27">
        <v>0</v>
      </c>
    </row>
    <row r="28" spans="1:6" x14ac:dyDescent="0.2">
      <c r="A28" s="1">
        <v>65</v>
      </c>
      <c r="B28">
        <f t="shared" si="0"/>
        <v>26</v>
      </c>
      <c r="C28">
        <v>17</v>
      </c>
      <c r="D28">
        <v>0</v>
      </c>
      <c r="E28">
        <v>0</v>
      </c>
      <c r="F28">
        <v>9</v>
      </c>
    </row>
    <row r="29" spans="1:6" x14ac:dyDescent="0.2">
      <c r="A29" s="1">
        <v>66</v>
      </c>
      <c r="B29">
        <f t="shared" si="0"/>
        <v>32</v>
      </c>
      <c r="C29">
        <v>7</v>
      </c>
      <c r="D29">
        <v>6</v>
      </c>
      <c r="E29">
        <v>9</v>
      </c>
      <c r="F29">
        <v>10</v>
      </c>
    </row>
    <row r="30" spans="1:6" x14ac:dyDescent="0.2">
      <c r="A30" s="1">
        <v>68</v>
      </c>
      <c r="B30">
        <f t="shared" si="0"/>
        <v>33</v>
      </c>
      <c r="C30">
        <v>9</v>
      </c>
      <c r="D30">
        <v>7</v>
      </c>
      <c r="E30">
        <v>9</v>
      </c>
      <c r="F30">
        <v>8</v>
      </c>
    </row>
    <row r="31" spans="1:6" x14ac:dyDescent="0.2">
      <c r="A31" s="1">
        <v>69</v>
      </c>
      <c r="B31">
        <f t="shared" si="0"/>
        <v>30.5</v>
      </c>
      <c r="C31">
        <v>9.5</v>
      </c>
      <c r="D31">
        <v>11</v>
      </c>
      <c r="E31">
        <v>9</v>
      </c>
      <c r="F31">
        <v>1</v>
      </c>
    </row>
    <row r="32" spans="1:6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75</v>
      </c>
      <c r="B35">
        <f t="shared" si="0"/>
        <v>21</v>
      </c>
      <c r="C35">
        <v>0</v>
      </c>
      <c r="D35">
        <v>8.5</v>
      </c>
      <c r="E35">
        <v>12.5</v>
      </c>
      <c r="F35">
        <v>0</v>
      </c>
    </row>
    <row r="36" spans="1:6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82</v>
      </c>
      <c r="B41">
        <f t="shared" si="0"/>
        <v>9.5</v>
      </c>
      <c r="C41">
        <v>6.5</v>
      </c>
      <c r="D41">
        <v>0</v>
      </c>
      <c r="E41">
        <v>0</v>
      </c>
      <c r="F41">
        <v>3</v>
      </c>
    </row>
    <row r="42" spans="1:6" x14ac:dyDescent="0.2">
      <c r="A42" s="1">
        <v>86</v>
      </c>
      <c r="B42">
        <f t="shared" si="0"/>
        <v>9.5</v>
      </c>
      <c r="C42">
        <v>6.5</v>
      </c>
      <c r="D42">
        <v>0</v>
      </c>
      <c r="E42">
        <v>0</v>
      </c>
      <c r="F42">
        <v>3</v>
      </c>
    </row>
    <row r="43" spans="1:6" x14ac:dyDescent="0.2">
      <c r="A43" s="1">
        <v>90</v>
      </c>
      <c r="B43">
        <f t="shared" si="0"/>
        <v>6.5</v>
      </c>
      <c r="C43">
        <v>0</v>
      </c>
      <c r="D43">
        <v>0</v>
      </c>
      <c r="E43">
        <v>1</v>
      </c>
      <c r="F43">
        <v>5.5</v>
      </c>
    </row>
    <row r="44" spans="1:6" x14ac:dyDescent="0.2">
      <c r="A44" s="1">
        <v>91</v>
      </c>
      <c r="B44">
        <f t="shared" si="0"/>
        <v>10.5</v>
      </c>
      <c r="C44">
        <v>6.5</v>
      </c>
      <c r="D44">
        <v>3</v>
      </c>
      <c r="E44">
        <v>1</v>
      </c>
      <c r="F44">
        <v>0</v>
      </c>
    </row>
    <row r="45" spans="1:6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9FA7-157C-8247-896C-1122A85418BE}">
  <dimension ref="A1:F51"/>
  <sheetViews>
    <sheetView zoomScale="159" workbookViewId="0">
      <selection activeCell="C11" sqref="C11"/>
    </sheetView>
  </sheetViews>
  <sheetFormatPr baseColWidth="10" defaultRowHeight="16" x14ac:dyDescent="0.2"/>
  <sheetData>
    <row r="1" spans="1:6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1</v>
      </c>
      <c r="B2">
        <f>SUM(C2:F2)</f>
        <v>9.5</v>
      </c>
      <c r="C2">
        <v>6.5</v>
      </c>
      <c r="D2">
        <v>3</v>
      </c>
      <c r="E2">
        <v>0</v>
      </c>
      <c r="F2">
        <v>0</v>
      </c>
    </row>
    <row r="3" spans="1:6" x14ac:dyDescent="0.2">
      <c r="A3" s="1">
        <v>2</v>
      </c>
      <c r="B3">
        <f t="shared" ref="B3:B51" si="0">SUM(C3:F3)</f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3</v>
      </c>
      <c r="B4">
        <f t="shared" si="0"/>
        <v>7</v>
      </c>
      <c r="C4">
        <v>0</v>
      </c>
      <c r="D4">
        <v>7</v>
      </c>
      <c r="E4">
        <v>0</v>
      </c>
      <c r="F4">
        <v>0</v>
      </c>
    </row>
    <row r="5" spans="1:6" x14ac:dyDescent="0.2">
      <c r="A5" s="1">
        <v>8</v>
      </c>
      <c r="B5">
        <f t="shared" si="0"/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21</v>
      </c>
      <c r="B10">
        <f t="shared" si="0"/>
        <v>35.5</v>
      </c>
      <c r="C10">
        <v>8.5</v>
      </c>
      <c r="D10">
        <v>10</v>
      </c>
      <c r="E10">
        <v>12</v>
      </c>
      <c r="F10">
        <v>5</v>
      </c>
    </row>
    <row r="11" spans="1:6" x14ac:dyDescent="0.2">
      <c r="A11" s="1">
        <v>22</v>
      </c>
      <c r="B11">
        <f t="shared" si="0"/>
        <v>33</v>
      </c>
      <c r="C11">
        <v>6.5</v>
      </c>
      <c r="D11">
        <v>10</v>
      </c>
      <c r="E11">
        <v>12</v>
      </c>
      <c r="F11">
        <v>4.5</v>
      </c>
    </row>
    <row r="12" spans="1:6" x14ac:dyDescent="0.2">
      <c r="A12" s="1">
        <v>25</v>
      </c>
      <c r="B12">
        <f t="shared" si="0"/>
        <v>21</v>
      </c>
      <c r="C12">
        <v>0</v>
      </c>
      <c r="D12">
        <v>9.5</v>
      </c>
      <c r="E12">
        <v>7</v>
      </c>
      <c r="F12">
        <v>4.5</v>
      </c>
    </row>
    <row r="13" spans="1:6" x14ac:dyDescent="0.2">
      <c r="A13" s="1">
        <v>28</v>
      </c>
      <c r="B13">
        <f t="shared" si="0"/>
        <v>10</v>
      </c>
      <c r="C13">
        <v>0</v>
      </c>
      <c r="D13">
        <v>10</v>
      </c>
      <c r="E13">
        <v>0</v>
      </c>
      <c r="F13">
        <v>0</v>
      </c>
    </row>
    <row r="14" spans="1:6" x14ac:dyDescent="0.2">
      <c r="A14" s="1">
        <v>30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33</v>
      </c>
      <c r="B15">
        <f t="shared" si="0"/>
        <v>6</v>
      </c>
      <c r="C15">
        <v>0</v>
      </c>
      <c r="D15">
        <v>6</v>
      </c>
      <c r="E15">
        <v>0</v>
      </c>
      <c r="F15">
        <v>0</v>
      </c>
    </row>
    <row r="16" spans="1:6" x14ac:dyDescent="0.2">
      <c r="A16" s="1">
        <v>35</v>
      </c>
      <c r="B16">
        <f t="shared" si="0"/>
        <v>4.5</v>
      </c>
      <c r="C16">
        <v>0</v>
      </c>
      <c r="D16">
        <v>4.5</v>
      </c>
      <c r="E16">
        <v>0</v>
      </c>
      <c r="F16">
        <v>0</v>
      </c>
    </row>
    <row r="17" spans="1:6" x14ac:dyDescent="0.2">
      <c r="A17" s="1">
        <v>37</v>
      </c>
      <c r="B17">
        <f t="shared" si="0"/>
        <v>6</v>
      </c>
      <c r="C17">
        <v>0</v>
      </c>
      <c r="D17">
        <v>6</v>
      </c>
      <c r="E17">
        <v>0</v>
      </c>
      <c r="F17">
        <v>0</v>
      </c>
    </row>
    <row r="18" spans="1:6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44</v>
      </c>
      <c r="B19">
        <f t="shared" si="0"/>
        <v>38</v>
      </c>
      <c r="C19">
        <v>10.5</v>
      </c>
      <c r="D19">
        <v>10</v>
      </c>
      <c r="E19">
        <v>12</v>
      </c>
      <c r="F19">
        <v>5.5</v>
      </c>
    </row>
    <row r="20" spans="1:6" x14ac:dyDescent="0.2">
      <c r="A20" s="1">
        <v>47</v>
      </c>
      <c r="B20">
        <f t="shared" si="0"/>
        <v>44</v>
      </c>
      <c r="C20">
        <v>17</v>
      </c>
      <c r="D20">
        <v>10</v>
      </c>
      <c r="E20">
        <v>12</v>
      </c>
      <c r="F20">
        <v>5</v>
      </c>
    </row>
    <row r="21" spans="1:6" x14ac:dyDescent="0.2">
      <c r="A21" s="1">
        <v>49</v>
      </c>
      <c r="B21">
        <f t="shared" si="0"/>
        <v>37.5</v>
      </c>
      <c r="C21">
        <v>10</v>
      </c>
      <c r="D21">
        <v>10</v>
      </c>
      <c r="E21">
        <v>12</v>
      </c>
      <c r="F21">
        <v>5.5</v>
      </c>
    </row>
    <row r="22" spans="1:6" x14ac:dyDescent="0.2">
      <c r="A22" s="1">
        <v>56</v>
      </c>
      <c r="B22">
        <f t="shared" si="0"/>
        <v>19.5</v>
      </c>
      <c r="C22">
        <v>2</v>
      </c>
      <c r="D22">
        <v>9</v>
      </c>
      <c r="E22">
        <v>6</v>
      </c>
      <c r="F22">
        <v>2.5</v>
      </c>
    </row>
    <row r="23" spans="1:6" x14ac:dyDescent="0.2">
      <c r="A23" s="1">
        <v>58</v>
      </c>
      <c r="B23">
        <f t="shared" si="0"/>
        <v>23</v>
      </c>
      <c r="C23">
        <v>5</v>
      </c>
      <c r="D23">
        <v>10</v>
      </c>
      <c r="E23">
        <v>6</v>
      </c>
      <c r="F23">
        <v>2</v>
      </c>
    </row>
    <row r="24" spans="1:6" x14ac:dyDescent="0.2">
      <c r="A24" s="1">
        <v>60</v>
      </c>
      <c r="B24">
        <f t="shared" si="0"/>
        <v>21.5</v>
      </c>
      <c r="C24">
        <v>5</v>
      </c>
      <c r="D24">
        <v>10</v>
      </c>
      <c r="E24">
        <v>6</v>
      </c>
      <c r="F24">
        <v>0.5</v>
      </c>
    </row>
    <row r="25" spans="1:6" x14ac:dyDescent="0.2">
      <c r="A25" s="1">
        <v>61</v>
      </c>
      <c r="B25">
        <f t="shared" si="0"/>
        <v>31</v>
      </c>
      <c r="C25">
        <v>4</v>
      </c>
      <c r="D25">
        <v>10</v>
      </c>
      <c r="E25">
        <v>11.5</v>
      </c>
      <c r="F25">
        <v>5.5</v>
      </c>
    </row>
    <row r="26" spans="1:6" x14ac:dyDescent="0.2">
      <c r="A26" s="1">
        <v>62</v>
      </c>
      <c r="B26">
        <f t="shared" si="0"/>
        <v>30</v>
      </c>
      <c r="C26">
        <v>3</v>
      </c>
      <c r="D26">
        <v>10</v>
      </c>
      <c r="E26">
        <v>11.5</v>
      </c>
      <c r="F26">
        <v>5.5</v>
      </c>
    </row>
    <row r="27" spans="1:6" x14ac:dyDescent="0.2">
      <c r="A27" s="1">
        <v>63</v>
      </c>
      <c r="B27">
        <f t="shared" si="0"/>
        <v>19.5</v>
      </c>
      <c r="C27">
        <v>3</v>
      </c>
      <c r="D27">
        <v>6</v>
      </c>
      <c r="E27">
        <v>9.5</v>
      </c>
      <c r="F27">
        <v>1</v>
      </c>
    </row>
    <row r="28" spans="1:6" x14ac:dyDescent="0.2">
      <c r="A28" s="1">
        <v>65</v>
      </c>
      <c r="B28">
        <f t="shared" si="0"/>
        <v>41</v>
      </c>
      <c r="C28">
        <v>17</v>
      </c>
      <c r="D28">
        <v>8.5</v>
      </c>
      <c r="E28">
        <v>12</v>
      </c>
      <c r="F28">
        <v>3.5</v>
      </c>
    </row>
    <row r="29" spans="1:6" x14ac:dyDescent="0.2">
      <c r="A29" s="1">
        <v>66</v>
      </c>
      <c r="B29">
        <f t="shared" si="0"/>
        <v>33</v>
      </c>
      <c r="C29">
        <v>7</v>
      </c>
      <c r="D29">
        <v>8.5</v>
      </c>
      <c r="E29">
        <v>12</v>
      </c>
      <c r="F29">
        <v>5.5</v>
      </c>
    </row>
    <row r="30" spans="1:6" x14ac:dyDescent="0.2">
      <c r="A30" s="1">
        <v>68</v>
      </c>
      <c r="B30">
        <f t="shared" si="0"/>
        <v>34.5</v>
      </c>
      <c r="C30">
        <v>9</v>
      </c>
      <c r="D30">
        <v>10</v>
      </c>
      <c r="E30">
        <v>12</v>
      </c>
      <c r="F30">
        <v>3.5</v>
      </c>
    </row>
    <row r="31" spans="1:6" x14ac:dyDescent="0.2">
      <c r="A31" s="1">
        <v>69</v>
      </c>
      <c r="B31">
        <f t="shared" si="0"/>
        <v>34.5</v>
      </c>
      <c r="C31">
        <v>9.5</v>
      </c>
      <c r="D31">
        <v>9.5</v>
      </c>
      <c r="E31">
        <v>12</v>
      </c>
      <c r="F31">
        <v>3.5</v>
      </c>
    </row>
    <row r="32" spans="1:6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75</v>
      </c>
      <c r="B35">
        <f t="shared" si="0"/>
        <v>16.5</v>
      </c>
      <c r="C35">
        <v>0</v>
      </c>
      <c r="D35">
        <v>6</v>
      </c>
      <c r="E35">
        <v>5</v>
      </c>
      <c r="F35">
        <v>5.5</v>
      </c>
    </row>
    <row r="36" spans="1:6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82</v>
      </c>
      <c r="B41">
        <f t="shared" si="0"/>
        <v>9.5</v>
      </c>
      <c r="C41">
        <v>6.5</v>
      </c>
      <c r="D41">
        <v>0</v>
      </c>
      <c r="E41">
        <v>0</v>
      </c>
      <c r="F41">
        <v>3</v>
      </c>
    </row>
    <row r="42" spans="1:6" x14ac:dyDescent="0.2">
      <c r="A42" s="1">
        <v>86</v>
      </c>
      <c r="B42">
        <f t="shared" si="0"/>
        <v>9.5</v>
      </c>
      <c r="C42">
        <v>6.5</v>
      </c>
      <c r="D42">
        <v>0</v>
      </c>
      <c r="E42">
        <v>0</v>
      </c>
      <c r="F42">
        <v>3</v>
      </c>
    </row>
    <row r="43" spans="1:6" x14ac:dyDescent="0.2">
      <c r="A43" s="1">
        <v>90</v>
      </c>
      <c r="B43">
        <f t="shared" si="0"/>
        <v>8</v>
      </c>
      <c r="C43">
        <v>0</v>
      </c>
      <c r="D43">
        <v>7</v>
      </c>
      <c r="E43">
        <v>1</v>
      </c>
      <c r="F43">
        <v>0</v>
      </c>
    </row>
    <row r="44" spans="1:6" x14ac:dyDescent="0.2">
      <c r="A44" s="1">
        <v>91</v>
      </c>
      <c r="B44">
        <f t="shared" si="0"/>
        <v>10.5</v>
      </c>
      <c r="C44">
        <v>6.5</v>
      </c>
      <c r="D44">
        <v>3</v>
      </c>
      <c r="E44">
        <v>1</v>
      </c>
      <c r="F44">
        <v>0</v>
      </c>
    </row>
    <row r="45" spans="1:6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E301-65BD-DE4D-9BEE-1D2C3403F416}">
  <dimension ref="A1:F51"/>
  <sheetViews>
    <sheetView zoomScale="125" workbookViewId="0">
      <selection activeCell="B1" sqref="B1:F1"/>
    </sheetView>
  </sheetViews>
  <sheetFormatPr baseColWidth="10" defaultRowHeight="16" x14ac:dyDescent="0.2"/>
  <sheetData>
    <row r="1" spans="1:6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1</v>
      </c>
      <c r="B2">
        <f>SUM(C2:F2)</f>
        <v>9.5</v>
      </c>
      <c r="C2">
        <v>6.5</v>
      </c>
      <c r="D2">
        <v>3</v>
      </c>
      <c r="E2">
        <v>0</v>
      </c>
      <c r="F2">
        <v>0</v>
      </c>
    </row>
    <row r="3" spans="1:6" x14ac:dyDescent="0.2">
      <c r="A3" s="1">
        <v>2</v>
      </c>
      <c r="B3">
        <f t="shared" ref="B3:B51" si="0">SUM(C3:F3)</f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3</v>
      </c>
      <c r="B4">
        <f t="shared" si="0"/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8</v>
      </c>
      <c r="B5">
        <f t="shared" si="0"/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21</v>
      </c>
      <c r="B10">
        <f t="shared" si="0"/>
        <v>56.5</v>
      </c>
      <c r="C10">
        <v>8.5</v>
      </c>
      <c r="D10">
        <v>22.5</v>
      </c>
      <c r="E10">
        <v>19</v>
      </c>
      <c r="F10">
        <v>6.5</v>
      </c>
    </row>
    <row r="11" spans="1:6" x14ac:dyDescent="0.2">
      <c r="A11" s="1">
        <v>22</v>
      </c>
      <c r="B11">
        <f t="shared" si="0"/>
        <v>24</v>
      </c>
      <c r="C11">
        <v>6.5</v>
      </c>
      <c r="D11">
        <v>14.5</v>
      </c>
      <c r="E11">
        <v>0</v>
      </c>
      <c r="F11">
        <v>3</v>
      </c>
    </row>
    <row r="12" spans="1:6" x14ac:dyDescent="0.2">
      <c r="A12" s="1">
        <v>25</v>
      </c>
      <c r="B12">
        <f t="shared" si="0"/>
        <v>4.5</v>
      </c>
      <c r="C12">
        <v>0</v>
      </c>
      <c r="D12">
        <v>4.5</v>
      </c>
      <c r="E12">
        <v>0</v>
      </c>
      <c r="F12">
        <v>0</v>
      </c>
    </row>
    <row r="13" spans="1:6" x14ac:dyDescent="0.2">
      <c r="A13" s="1">
        <v>28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30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33</v>
      </c>
      <c r="B15">
        <f t="shared" si="0"/>
        <v>6</v>
      </c>
      <c r="C15">
        <v>0</v>
      </c>
      <c r="D15">
        <v>6</v>
      </c>
      <c r="E15">
        <v>0</v>
      </c>
      <c r="F15">
        <v>0</v>
      </c>
    </row>
    <row r="16" spans="1:6" x14ac:dyDescent="0.2">
      <c r="A16" s="1">
        <v>35</v>
      </c>
      <c r="B16">
        <f t="shared" si="0"/>
        <v>6</v>
      </c>
      <c r="C16">
        <v>0</v>
      </c>
      <c r="D16">
        <v>6</v>
      </c>
      <c r="E16">
        <v>0</v>
      </c>
      <c r="F16">
        <v>0</v>
      </c>
    </row>
    <row r="17" spans="1:6" x14ac:dyDescent="0.2">
      <c r="A17" s="1">
        <v>37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44</v>
      </c>
      <c r="B19">
        <f t="shared" si="0"/>
        <v>48.5</v>
      </c>
      <c r="C19">
        <v>10.5</v>
      </c>
      <c r="D19">
        <v>13</v>
      </c>
      <c r="E19">
        <v>19.5</v>
      </c>
      <c r="F19">
        <v>5.5</v>
      </c>
    </row>
    <row r="20" spans="1:6" x14ac:dyDescent="0.2">
      <c r="A20" s="1">
        <v>47</v>
      </c>
      <c r="B20">
        <f t="shared" si="0"/>
        <v>54.5</v>
      </c>
      <c r="C20">
        <v>17</v>
      </c>
      <c r="D20">
        <v>14</v>
      </c>
      <c r="E20">
        <v>16.5</v>
      </c>
      <c r="F20">
        <v>7</v>
      </c>
    </row>
    <row r="21" spans="1:6" x14ac:dyDescent="0.2">
      <c r="A21" s="1">
        <v>49</v>
      </c>
      <c r="B21">
        <f t="shared" si="0"/>
        <v>42.5</v>
      </c>
      <c r="C21">
        <v>10</v>
      </c>
      <c r="D21">
        <v>12.5</v>
      </c>
      <c r="E21">
        <v>12</v>
      </c>
      <c r="F21">
        <v>8</v>
      </c>
    </row>
    <row r="22" spans="1:6" x14ac:dyDescent="0.2">
      <c r="A22" s="1">
        <v>56</v>
      </c>
      <c r="B22">
        <f t="shared" si="0"/>
        <v>20</v>
      </c>
      <c r="C22">
        <v>2</v>
      </c>
      <c r="D22">
        <v>10</v>
      </c>
      <c r="E22">
        <v>6</v>
      </c>
      <c r="F22">
        <v>2</v>
      </c>
    </row>
    <row r="23" spans="1:6" x14ac:dyDescent="0.2">
      <c r="A23" s="1">
        <v>58</v>
      </c>
      <c r="B23">
        <f t="shared" si="0"/>
        <v>28</v>
      </c>
      <c r="C23">
        <v>5</v>
      </c>
      <c r="D23">
        <v>14.5</v>
      </c>
      <c r="E23">
        <v>6</v>
      </c>
      <c r="F23">
        <v>2.5</v>
      </c>
    </row>
    <row r="24" spans="1:6" x14ac:dyDescent="0.2">
      <c r="A24" s="1">
        <v>60</v>
      </c>
      <c r="B24">
        <f t="shared" si="0"/>
        <v>21.5</v>
      </c>
      <c r="C24">
        <v>5</v>
      </c>
      <c r="D24">
        <v>10</v>
      </c>
      <c r="E24">
        <v>6</v>
      </c>
      <c r="F24">
        <v>0.5</v>
      </c>
    </row>
    <row r="25" spans="1:6" x14ac:dyDescent="0.2">
      <c r="A25" s="1">
        <v>61</v>
      </c>
      <c r="B25">
        <f t="shared" si="0"/>
        <v>24.5</v>
      </c>
      <c r="C25">
        <v>4</v>
      </c>
      <c r="D25">
        <v>7.5</v>
      </c>
      <c r="E25">
        <v>12</v>
      </c>
      <c r="F25">
        <v>1</v>
      </c>
    </row>
    <row r="26" spans="1:6" x14ac:dyDescent="0.2">
      <c r="A26" s="1">
        <v>62</v>
      </c>
      <c r="B26">
        <f t="shared" si="0"/>
        <v>20</v>
      </c>
      <c r="C26">
        <v>3</v>
      </c>
      <c r="D26">
        <v>10</v>
      </c>
      <c r="E26">
        <v>7</v>
      </c>
      <c r="F26">
        <v>0</v>
      </c>
    </row>
    <row r="27" spans="1:6" x14ac:dyDescent="0.2">
      <c r="A27" s="1">
        <v>63</v>
      </c>
      <c r="B27">
        <f t="shared" si="0"/>
        <v>15</v>
      </c>
      <c r="C27">
        <v>3</v>
      </c>
      <c r="D27">
        <v>6</v>
      </c>
      <c r="E27">
        <v>5</v>
      </c>
      <c r="F27">
        <v>1</v>
      </c>
    </row>
    <row r="28" spans="1:6" x14ac:dyDescent="0.2">
      <c r="A28" s="1">
        <v>65</v>
      </c>
      <c r="B28">
        <f t="shared" si="0"/>
        <v>67</v>
      </c>
      <c r="C28">
        <v>17</v>
      </c>
      <c r="D28">
        <v>15.5</v>
      </c>
      <c r="E28">
        <v>21</v>
      </c>
      <c r="F28">
        <v>13.5</v>
      </c>
    </row>
    <row r="29" spans="1:6" x14ac:dyDescent="0.2">
      <c r="A29" s="1">
        <v>66</v>
      </c>
      <c r="B29">
        <f t="shared" si="0"/>
        <v>23</v>
      </c>
      <c r="C29">
        <v>7</v>
      </c>
      <c r="D29">
        <v>7</v>
      </c>
      <c r="E29">
        <v>9</v>
      </c>
      <c r="F29">
        <v>0</v>
      </c>
    </row>
    <row r="30" spans="1:6" x14ac:dyDescent="0.2">
      <c r="A30" s="1">
        <v>68</v>
      </c>
      <c r="B30">
        <f t="shared" si="0"/>
        <v>47</v>
      </c>
      <c r="C30">
        <v>9</v>
      </c>
      <c r="D30">
        <v>9.5</v>
      </c>
      <c r="E30">
        <v>19.5</v>
      </c>
      <c r="F30">
        <v>9</v>
      </c>
    </row>
    <row r="31" spans="1:6" x14ac:dyDescent="0.2">
      <c r="A31" s="1">
        <v>69</v>
      </c>
      <c r="B31">
        <f t="shared" si="0"/>
        <v>41.5</v>
      </c>
      <c r="C31">
        <v>9.5</v>
      </c>
      <c r="D31">
        <v>11</v>
      </c>
      <c r="E31">
        <v>12</v>
      </c>
      <c r="F31">
        <v>9</v>
      </c>
    </row>
    <row r="32" spans="1:6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75</v>
      </c>
      <c r="B35">
        <f t="shared" si="0"/>
        <v>6</v>
      </c>
      <c r="C35">
        <v>0</v>
      </c>
      <c r="D35">
        <v>6</v>
      </c>
      <c r="E35">
        <v>0</v>
      </c>
      <c r="F35">
        <v>0</v>
      </c>
    </row>
    <row r="36" spans="1:6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82</v>
      </c>
      <c r="B41">
        <f t="shared" si="0"/>
        <v>9.5</v>
      </c>
      <c r="C41">
        <v>6.5</v>
      </c>
      <c r="D41">
        <v>0</v>
      </c>
      <c r="E41">
        <v>0</v>
      </c>
      <c r="F41">
        <v>3</v>
      </c>
    </row>
    <row r="42" spans="1:6" x14ac:dyDescent="0.2">
      <c r="A42" s="1">
        <v>86</v>
      </c>
      <c r="B42">
        <f t="shared" si="0"/>
        <v>9.5</v>
      </c>
      <c r="C42">
        <v>6.5</v>
      </c>
      <c r="D42">
        <v>0</v>
      </c>
      <c r="E42">
        <v>0</v>
      </c>
      <c r="F42">
        <v>3</v>
      </c>
    </row>
    <row r="43" spans="1:6" x14ac:dyDescent="0.2">
      <c r="A43" s="1">
        <v>90</v>
      </c>
      <c r="B43">
        <f t="shared" si="0"/>
        <v>1</v>
      </c>
      <c r="C43">
        <v>0</v>
      </c>
      <c r="D43">
        <v>0</v>
      </c>
      <c r="E43">
        <v>1</v>
      </c>
      <c r="F43">
        <v>0</v>
      </c>
    </row>
    <row r="44" spans="1:6" x14ac:dyDescent="0.2">
      <c r="A44" s="1">
        <v>91</v>
      </c>
      <c r="B44">
        <f t="shared" si="0"/>
        <v>10.5</v>
      </c>
      <c r="C44">
        <v>6.5</v>
      </c>
      <c r="D44">
        <v>3</v>
      </c>
      <c r="E44">
        <v>1</v>
      </c>
      <c r="F44">
        <v>0</v>
      </c>
    </row>
    <row r="45" spans="1:6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B7E0-67EF-724A-93A4-14C20AE6DB24}">
  <dimension ref="A1:K53"/>
  <sheetViews>
    <sheetView zoomScale="175" workbookViewId="0">
      <selection activeCell="D15" sqref="D15"/>
    </sheetView>
  </sheetViews>
  <sheetFormatPr baseColWidth="10" defaultRowHeight="16" x14ac:dyDescent="0.2"/>
  <cols>
    <col min="2" max="2" width="13.83203125" bestFit="1" customWidth="1"/>
    <col min="3" max="3" width="13.1640625" bestFit="1" customWidth="1"/>
    <col min="4" max="5" width="13.83203125" bestFit="1" customWidth="1"/>
  </cols>
  <sheetData>
    <row r="1" spans="1:11" x14ac:dyDescent="0.2">
      <c r="B1" t="s">
        <v>12</v>
      </c>
      <c r="C1" t="s">
        <v>13</v>
      </c>
      <c r="D1" t="s">
        <v>14</v>
      </c>
      <c r="E1" t="s">
        <v>15</v>
      </c>
      <c r="F1" t="s">
        <v>20</v>
      </c>
      <c r="H1" t="s">
        <v>0</v>
      </c>
      <c r="I1" t="s">
        <v>10</v>
      </c>
      <c r="J1" t="s">
        <v>11</v>
      </c>
      <c r="K1" t="s">
        <v>2</v>
      </c>
    </row>
    <row r="2" spans="1:11" x14ac:dyDescent="0.2">
      <c r="A2" t="s">
        <v>10</v>
      </c>
      <c r="B2">
        <v>1109</v>
      </c>
      <c r="C2">
        <v>1561</v>
      </c>
      <c r="D2">
        <v>1298</v>
      </c>
      <c r="E2">
        <v>990</v>
      </c>
      <c r="F2">
        <f>SUM(B2:E2)</f>
        <v>4958</v>
      </c>
      <c r="H2">
        <v>1</v>
      </c>
      <c r="I2">
        <v>9.5</v>
      </c>
      <c r="J2">
        <v>9.5</v>
      </c>
      <c r="K2">
        <v>6.5</v>
      </c>
    </row>
    <row r="3" spans="1:11" x14ac:dyDescent="0.2">
      <c r="A3" t="s">
        <v>11</v>
      </c>
      <c r="B3">
        <v>1238</v>
      </c>
      <c r="C3">
        <v>1680</v>
      </c>
      <c r="D3">
        <v>1346</v>
      </c>
      <c r="E3">
        <v>1035</v>
      </c>
      <c r="F3">
        <f>SUM(B3:E3)</f>
        <v>5299</v>
      </c>
      <c r="H3">
        <v>2</v>
      </c>
      <c r="I3">
        <v>0</v>
      </c>
      <c r="J3">
        <v>0</v>
      </c>
      <c r="K3">
        <v>3</v>
      </c>
    </row>
    <row r="4" spans="1:11" x14ac:dyDescent="0.2">
      <c r="A4" t="s">
        <v>2</v>
      </c>
      <c r="B4">
        <v>1109</v>
      </c>
      <c r="C4">
        <v>1628</v>
      </c>
      <c r="D4">
        <v>1643</v>
      </c>
      <c r="E4">
        <v>1079</v>
      </c>
      <c r="F4">
        <f>SUM(B4:E4)</f>
        <v>5459</v>
      </c>
      <c r="H4">
        <v>3</v>
      </c>
      <c r="I4">
        <v>0</v>
      </c>
      <c r="J4">
        <v>7</v>
      </c>
      <c r="K4">
        <v>20</v>
      </c>
    </row>
    <row r="5" spans="1:11" x14ac:dyDescent="0.2">
      <c r="H5">
        <v>8</v>
      </c>
      <c r="I5">
        <v>0</v>
      </c>
      <c r="J5">
        <v>0</v>
      </c>
      <c r="K5">
        <v>0</v>
      </c>
    </row>
    <row r="6" spans="1:11" x14ac:dyDescent="0.2">
      <c r="A6" t="s">
        <v>17</v>
      </c>
      <c r="F6" t="s">
        <v>19</v>
      </c>
      <c r="H6">
        <v>13</v>
      </c>
      <c r="I6">
        <v>0</v>
      </c>
      <c r="J6">
        <v>0</v>
      </c>
      <c r="K6">
        <v>0</v>
      </c>
    </row>
    <row r="7" spans="1:11" x14ac:dyDescent="0.2">
      <c r="A7" t="s">
        <v>11</v>
      </c>
      <c r="B7">
        <f>(B3-B2)/B2</f>
        <v>0.11632100991884581</v>
      </c>
      <c r="C7">
        <f t="shared" ref="C7:E7" si="0">(C3-C2)/C2</f>
        <v>7.623318385650224E-2</v>
      </c>
      <c r="D7">
        <f t="shared" si="0"/>
        <v>3.6979969183359017E-2</v>
      </c>
      <c r="E7">
        <f t="shared" si="0"/>
        <v>4.5454545454545456E-2</v>
      </c>
      <c r="F7">
        <f>(F3-F2)/F2</f>
        <v>6.8777732956837437E-2</v>
      </c>
      <c r="H7">
        <v>15</v>
      </c>
      <c r="I7">
        <v>0</v>
      </c>
      <c r="J7">
        <v>0</v>
      </c>
      <c r="K7">
        <v>0</v>
      </c>
    </row>
    <row r="8" spans="1:11" x14ac:dyDescent="0.2">
      <c r="A8" t="s">
        <v>2</v>
      </c>
      <c r="B8">
        <f>(B4-B2)/B2</f>
        <v>0</v>
      </c>
      <c r="C8">
        <f t="shared" ref="C8:E8" si="1">(C4-C2)/C2</f>
        <v>4.2921204356181936E-2</v>
      </c>
      <c r="D8">
        <f t="shared" si="1"/>
        <v>0.2657935285053929</v>
      </c>
      <c r="E8">
        <f t="shared" si="1"/>
        <v>8.9898989898989895E-2</v>
      </c>
      <c r="F8">
        <f>(F4-F2)/F2</f>
        <v>0.10104881000403389</v>
      </c>
      <c r="H8">
        <v>17</v>
      </c>
      <c r="I8">
        <v>0</v>
      </c>
      <c r="J8">
        <v>0</v>
      </c>
      <c r="K8">
        <v>0</v>
      </c>
    </row>
    <row r="9" spans="1:11" x14ac:dyDescent="0.2">
      <c r="H9">
        <v>18</v>
      </c>
      <c r="I9">
        <v>0</v>
      </c>
      <c r="J9">
        <v>0</v>
      </c>
      <c r="K9">
        <v>0</v>
      </c>
    </row>
    <row r="10" spans="1:11" x14ac:dyDescent="0.2">
      <c r="A10" t="s">
        <v>18</v>
      </c>
      <c r="H10">
        <v>21</v>
      </c>
      <c r="I10">
        <v>56.5</v>
      </c>
      <c r="J10">
        <v>35.5</v>
      </c>
      <c r="K10">
        <v>19</v>
      </c>
    </row>
    <row r="11" spans="1:11" x14ac:dyDescent="0.2">
      <c r="A11" t="s">
        <v>2</v>
      </c>
      <c r="B11">
        <f>(B4-B3)/B3</f>
        <v>-0.10420032310177706</v>
      </c>
      <c r="C11">
        <f t="shared" ref="C11:E11" si="2">(C4-C3)/C3</f>
        <v>-3.0952380952380953E-2</v>
      </c>
      <c r="D11">
        <f t="shared" si="2"/>
        <v>0.22065378900445765</v>
      </c>
      <c r="E11">
        <f t="shared" si="2"/>
        <v>4.2512077294685993E-2</v>
      </c>
      <c r="F11">
        <f>(F4-F3)/F3</f>
        <v>3.0194376297414605E-2</v>
      </c>
      <c r="H11">
        <v>22</v>
      </c>
      <c r="I11">
        <v>24</v>
      </c>
      <c r="J11">
        <v>33</v>
      </c>
      <c r="K11">
        <v>15.5</v>
      </c>
    </row>
    <row r="12" spans="1:11" x14ac:dyDescent="0.2">
      <c r="H12">
        <v>25</v>
      </c>
      <c r="I12">
        <v>4.5</v>
      </c>
      <c r="J12">
        <v>21</v>
      </c>
      <c r="K12">
        <v>39</v>
      </c>
    </row>
    <row r="13" spans="1:11" x14ac:dyDescent="0.2">
      <c r="H13">
        <v>28</v>
      </c>
      <c r="I13">
        <v>0</v>
      </c>
      <c r="J13">
        <v>10</v>
      </c>
      <c r="K13">
        <v>5.5</v>
      </c>
    </row>
    <row r="14" spans="1:11" x14ac:dyDescent="0.2">
      <c r="H14">
        <v>30</v>
      </c>
      <c r="I14">
        <v>0</v>
      </c>
      <c r="J14">
        <v>0</v>
      </c>
      <c r="K14">
        <v>5.5</v>
      </c>
    </row>
    <row r="15" spans="1:11" x14ac:dyDescent="0.2">
      <c r="H15">
        <v>33</v>
      </c>
      <c r="I15">
        <v>6</v>
      </c>
      <c r="J15">
        <v>6</v>
      </c>
      <c r="K15">
        <v>6</v>
      </c>
    </row>
    <row r="16" spans="1:11" x14ac:dyDescent="0.2">
      <c r="H16">
        <v>35</v>
      </c>
      <c r="I16">
        <v>6</v>
      </c>
      <c r="J16">
        <v>4.5</v>
      </c>
      <c r="K16">
        <v>4.5</v>
      </c>
    </row>
    <row r="17" spans="8:11" x14ac:dyDescent="0.2">
      <c r="H17">
        <v>37</v>
      </c>
      <c r="I17">
        <v>0</v>
      </c>
      <c r="J17">
        <v>6</v>
      </c>
      <c r="K17">
        <v>6</v>
      </c>
    </row>
    <row r="18" spans="8:11" x14ac:dyDescent="0.2">
      <c r="H18">
        <v>38</v>
      </c>
      <c r="I18">
        <v>0</v>
      </c>
      <c r="J18">
        <v>0</v>
      </c>
      <c r="K18">
        <v>0</v>
      </c>
    </row>
    <row r="19" spans="8:11" x14ac:dyDescent="0.2">
      <c r="H19">
        <v>44</v>
      </c>
      <c r="I19">
        <v>48.5</v>
      </c>
      <c r="J19">
        <v>38</v>
      </c>
      <c r="K19">
        <v>46</v>
      </c>
    </row>
    <row r="20" spans="8:11" x14ac:dyDescent="0.2">
      <c r="H20">
        <v>47</v>
      </c>
      <c r="I20">
        <v>54.5</v>
      </c>
      <c r="J20">
        <v>44</v>
      </c>
      <c r="K20">
        <v>35.5</v>
      </c>
    </row>
    <row r="21" spans="8:11" x14ac:dyDescent="0.2">
      <c r="H21">
        <v>49</v>
      </c>
      <c r="I21">
        <v>42.5</v>
      </c>
      <c r="J21">
        <v>37.5</v>
      </c>
      <c r="K21">
        <v>40</v>
      </c>
    </row>
    <row r="22" spans="8:11" x14ac:dyDescent="0.2">
      <c r="H22">
        <v>56</v>
      </c>
      <c r="I22">
        <v>20</v>
      </c>
      <c r="J22">
        <v>19.5</v>
      </c>
      <c r="K22">
        <v>25</v>
      </c>
    </row>
    <row r="23" spans="8:11" x14ac:dyDescent="0.2">
      <c r="H23">
        <v>58</v>
      </c>
      <c r="I23">
        <v>28</v>
      </c>
      <c r="J23">
        <v>23</v>
      </c>
      <c r="K23">
        <v>27.5</v>
      </c>
    </row>
    <row r="24" spans="8:11" x14ac:dyDescent="0.2">
      <c r="H24">
        <v>60</v>
      </c>
      <c r="I24">
        <v>21.5</v>
      </c>
      <c r="J24">
        <v>21.5</v>
      </c>
      <c r="K24">
        <v>21.5</v>
      </c>
    </row>
    <row r="25" spans="8:11" x14ac:dyDescent="0.2">
      <c r="H25">
        <v>61</v>
      </c>
      <c r="I25">
        <v>24.5</v>
      </c>
      <c r="J25">
        <v>31</v>
      </c>
      <c r="K25">
        <v>31.5</v>
      </c>
    </row>
    <row r="26" spans="8:11" x14ac:dyDescent="0.2">
      <c r="H26">
        <v>62</v>
      </c>
      <c r="I26">
        <v>20</v>
      </c>
      <c r="J26">
        <v>30</v>
      </c>
      <c r="K26">
        <v>25</v>
      </c>
    </row>
    <row r="27" spans="8:11" x14ac:dyDescent="0.2">
      <c r="H27">
        <v>63</v>
      </c>
      <c r="I27">
        <v>15</v>
      </c>
      <c r="J27">
        <v>19.5</v>
      </c>
      <c r="K27">
        <v>32.5</v>
      </c>
    </row>
    <row r="28" spans="8:11" x14ac:dyDescent="0.2">
      <c r="H28">
        <v>65</v>
      </c>
      <c r="I28">
        <v>67</v>
      </c>
      <c r="J28">
        <v>41</v>
      </c>
      <c r="K28">
        <v>26</v>
      </c>
    </row>
    <row r="29" spans="8:11" x14ac:dyDescent="0.2">
      <c r="H29">
        <v>66</v>
      </c>
      <c r="I29">
        <v>23</v>
      </c>
      <c r="J29">
        <v>33</v>
      </c>
      <c r="K29">
        <v>32</v>
      </c>
    </row>
    <row r="30" spans="8:11" x14ac:dyDescent="0.2">
      <c r="H30">
        <v>68</v>
      </c>
      <c r="I30">
        <v>47</v>
      </c>
      <c r="J30">
        <v>34.5</v>
      </c>
      <c r="K30">
        <v>33</v>
      </c>
    </row>
    <row r="31" spans="8:11" x14ac:dyDescent="0.2">
      <c r="H31">
        <v>69</v>
      </c>
      <c r="I31">
        <v>41.5</v>
      </c>
      <c r="J31">
        <v>34.5</v>
      </c>
      <c r="K31">
        <v>30.5</v>
      </c>
    </row>
    <row r="32" spans="8:11" x14ac:dyDescent="0.2">
      <c r="H32">
        <v>70</v>
      </c>
      <c r="I32">
        <v>0</v>
      </c>
      <c r="J32">
        <v>0</v>
      </c>
      <c r="K32">
        <v>0</v>
      </c>
    </row>
    <row r="33" spans="8:11" x14ac:dyDescent="0.2">
      <c r="H33">
        <v>71</v>
      </c>
      <c r="I33">
        <v>0</v>
      </c>
      <c r="J33">
        <v>0</v>
      </c>
      <c r="K33">
        <v>0</v>
      </c>
    </row>
    <row r="34" spans="8:11" x14ac:dyDescent="0.2">
      <c r="H34">
        <v>73</v>
      </c>
      <c r="I34">
        <v>0</v>
      </c>
      <c r="J34">
        <v>0</v>
      </c>
      <c r="K34">
        <v>0</v>
      </c>
    </row>
    <row r="35" spans="8:11" x14ac:dyDescent="0.2">
      <c r="H35">
        <v>75</v>
      </c>
      <c r="I35">
        <v>6</v>
      </c>
      <c r="J35">
        <v>16.5</v>
      </c>
      <c r="K35">
        <v>21</v>
      </c>
    </row>
    <row r="36" spans="8:11" x14ac:dyDescent="0.2">
      <c r="H36">
        <v>76</v>
      </c>
      <c r="I36">
        <v>0</v>
      </c>
      <c r="J36">
        <v>0</v>
      </c>
      <c r="K36">
        <v>0</v>
      </c>
    </row>
    <row r="37" spans="8:11" x14ac:dyDescent="0.2">
      <c r="H37">
        <v>77</v>
      </c>
      <c r="I37">
        <v>0</v>
      </c>
      <c r="J37">
        <v>0</v>
      </c>
      <c r="K37">
        <v>0</v>
      </c>
    </row>
    <row r="38" spans="8:11" x14ac:dyDescent="0.2">
      <c r="H38">
        <v>79</v>
      </c>
      <c r="I38">
        <v>0</v>
      </c>
      <c r="J38">
        <v>0</v>
      </c>
      <c r="K38">
        <v>0</v>
      </c>
    </row>
    <row r="39" spans="8:11" x14ac:dyDescent="0.2">
      <c r="H39">
        <v>80</v>
      </c>
      <c r="I39">
        <v>0</v>
      </c>
      <c r="J39">
        <v>0</v>
      </c>
      <c r="K39">
        <v>0</v>
      </c>
    </row>
    <row r="40" spans="8:11" x14ac:dyDescent="0.2">
      <c r="H40">
        <v>81</v>
      </c>
      <c r="I40">
        <v>0</v>
      </c>
      <c r="J40">
        <v>0</v>
      </c>
      <c r="K40">
        <v>0</v>
      </c>
    </row>
    <row r="41" spans="8:11" x14ac:dyDescent="0.2">
      <c r="H41">
        <v>82</v>
      </c>
      <c r="I41">
        <v>9.5</v>
      </c>
      <c r="J41">
        <v>9.5</v>
      </c>
      <c r="K41">
        <v>9.5</v>
      </c>
    </row>
    <row r="42" spans="8:11" x14ac:dyDescent="0.2">
      <c r="H42">
        <v>86</v>
      </c>
      <c r="I42">
        <v>9.5</v>
      </c>
      <c r="J42">
        <v>9.5</v>
      </c>
      <c r="K42">
        <v>9.5</v>
      </c>
    </row>
    <row r="43" spans="8:11" x14ac:dyDescent="0.2">
      <c r="H43">
        <v>90</v>
      </c>
      <c r="I43">
        <v>1</v>
      </c>
      <c r="J43">
        <v>8</v>
      </c>
      <c r="K43">
        <v>6.5</v>
      </c>
    </row>
    <row r="44" spans="8:11" x14ac:dyDescent="0.2">
      <c r="H44">
        <v>91</v>
      </c>
      <c r="I44">
        <v>10.5</v>
      </c>
      <c r="J44">
        <v>10.5</v>
      </c>
      <c r="K44">
        <v>10.5</v>
      </c>
    </row>
    <row r="45" spans="8:11" x14ac:dyDescent="0.2">
      <c r="H45">
        <v>92</v>
      </c>
      <c r="I45">
        <v>0</v>
      </c>
      <c r="J45">
        <v>0</v>
      </c>
      <c r="K45">
        <v>0</v>
      </c>
    </row>
    <row r="46" spans="8:11" x14ac:dyDescent="0.2">
      <c r="H46">
        <v>93</v>
      </c>
      <c r="I46">
        <v>0</v>
      </c>
      <c r="J46">
        <v>0</v>
      </c>
      <c r="K46">
        <v>0</v>
      </c>
    </row>
    <row r="47" spans="8:11" x14ac:dyDescent="0.2">
      <c r="H47">
        <v>94</v>
      </c>
      <c r="I47">
        <v>0</v>
      </c>
      <c r="J47">
        <v>0</v>
      </c>
      <c r="K47">
        <v>0</v>
      </c>
    </row>
    <row r="48" spans="8:11" x14ac:dyDescent="0.2">
      <c r="H48">
        <v>96</v>
      </c>
      <c r="I48">
        <v>0</v>
      </c>
      <c r="J48">
        <v>0</v>
      </c>
      <c r="K48">
        <v>0</v>
      </c>
    </row>
    <row r="49" spans="8:11" x14ac:dyDescent="0.2">
      <c r="H49">
        <v>97</v>
      </c>
      <c r="I49">
        <v>0</v>
      </c>
      <c r="J49">
        <v>0</v>
      </c>
      <c r="K49">
        <v>0</v>
      </c>
    </row>
    <row r="50" spans="8:11" x14ac:dyDescent="0.2">
      <c r="H50">
        <v>99</v>
      </c>
      <c r="I50">
        <v>0</v>
      </c>
      <c r="J50">
        <v>0</v>
      </c>
      <c r="K50">
        <v>0</v>
      </c>
    </row>
    <row r="51" spans="8:11" x14ac:dyDescent="0.2">
      <c r="H51">
        <v>100</v>
      </c>
      <c r="I51">
        <v>0</v>
      </c>
      <c r="J51">
        <v>0</v>
      </c>
      <c r="K51">
        <v>0</v>
      </c>
    </row>
    <row r="53" spans="8:11" x14ac:dyDescent="0.2">
      <c r="H53" t="s">
        <v>16</v>
      </c>
      <c r="I53">
        <f>_xlfn.VAR.P(I2:I51)</f>
        <v>322.47359999999998</v>
      </c>
      <c r="J53">
        <f t="shared" ref="J53:K53" si="3">_xlfn.VAR.P(J2:J51)</f>
        <v>205.06809999999999</v>
      </c>
      <c r="K53">
        <f t="shared" si="3"/>
        <v>193.35810000000001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E4A5-E48E-3248-A5E7-4B410F86E290}">
  <dimension ref="A1:I53"/>
  <sheetViews>
    <sheetView tabSelected="1" zoomScale="143" workbookViewId="0">
      <selection activeCell="E1" sqref="E1:E1048576"/>
    </sheetView>
  </sheetViews>
  <sheetFormatPr baseColWidth="10" defaultRowHeight="16" x14ac:dyDescent="0.2"/>
  <sheetData>
    <row r="1" spans="1:9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  <c r="I1">
        <f>SUM(H:H)</f>
        <v>1238</v>
      </c>
    </row>
    <row r="2" spans="1:9" x14ac:dyDescent="0.2">
      <c r="A2" s="1">
        <v>1</v>
      </c>
      <c r="B2">
        <f>SUM(C2:F2)</f>
        <v>2</v>
      </c>
      <c r="C2">
        <v>0</v>
      </c>
      <c r="D2">
        <v>2</v>
      </c>
      <c r="E2">
        <v>0</v>
      </c>
      <c r="H2">
        <v>48</v>
      </c>
    </row>
    <row r="3" spans="1:9" x14ac:dyDescent="0.2">
      <c r="A3" s="1">
        <v>2</v>
      </c>
      <c r="B3">
        <f t="shared" ref="B3:B51" si="0">SUM(C3:F3)</f>
        <v>2</v>
      </c>
      <c r="C3">
        <v>0</v>
      </c>
      <c r="D3">
        <v>0</v>
      </c>
      <c r="E3">
        <v>2</v>
      </c>
      <c r="H3">
        <v>0</v>
      </c>
    </row>
    <row r="4" spans="1:9" x14ac:dyDescent="0.2">
      <c r="A4" s="1">
        <v>3</v>
      </c>
      <c r="B4">
        <f t="shared" si="0"/>
        <v>1</v>
      </c>
      <c r="C4">
        <v>1</v>
      </c>
      <c r="D4">
        <v>0</v>
      </c>
      <c r="E4">
        <v>0</v>
      </c>
      <c r="H4">
        <v>113</v>
      </c>
    </row>
    <row r="5" spans="1:9" x14ac:dyDescent="0.2">
      <c r="A5" s="1">
        <v>8</v>
      </c>
      <c r="B5">
        <f t="shared" si="0"/>
        <v>2</v>
      </c>
      <c r="C5">
        <v>0</v>
      </c>
      <c r="D5">
        <v>2</v>
      </c>
      <c r="E5">
        <v>0</v>
      </c>
      <c r="H5">
        <v>0</v>
      </c>
    </row>
    <row r="6" spans="1:9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H6">
        <v>0</v>
      </c>
    </row>
    <row r="7" spans="1:9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H7">
        <v>0</v>
      </c>
    </row>
    <row r="8" spans="1:9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H8">
        <v>0</v>
      </c>
    </row>
    <row r="9" spans="1:9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H9">
        <v>0</v>
      </c>
    </row>
    <row r="10" spans="1:9" x14ac:dyDescent="0.2">
      <c r="A10" s="1">
        <v>21</v>
      </c>
      <c r="B10">
        <f t="shared" si="0"/>
        <v>3</v>
      </c>
      <c r="C10">
        <v>3</v>
      </c>
      <c r="D10">
        <v>0</v>
      </c>
      <c r="E10">
        <v>0</v>
      </c>
      <c r="H10">
        <v>122</v>
      </c>
    </row>
    <row r="11" spans="1:9" x14ac:dyDescent="0.2">
      <c r="A11" s="1">
        <v>22</v>
      </c>
      <c r="B11">
        <f t="shared" si="0"/>
        <v>3</v>
      </c>
      <c r="C11">
        <v>3</v>
      </c>
      <c r="D11">
        <v>0</v>
      </c>
      <c r="E11">
        <v>0</v>
      </c>
      <c r="H11">
        <v>108</v>
      </c>
    </row>
    <row r="12" spans="1:9" x14ac:dyDescent="0.2">
      <c r="A12" s="1">
        <v>25</v>
      </c>
      <c r="B12">
        <f t="shared" si="0"/>
        <v>3</v>
      </c>
      <c r="C12">
        <v>0</v>
      </c>
      <c r="D12">
        <v>3</v>
      </c>
      <c r="E12">
        <v>0</v>
      </c>
      <c r="H12">
        <v>34</v>
      </c>
    </row>
    <row r="13" spans="1:9" x14ac:dyDescent="0.2">
      <c r="A13" s="1">
        <v>28</v>
      </c>
      <c r="B13">
        <f t="shared" si="0"/>
        <v>1</v>
      </c>
      <c r="C13">
        <v>1</v>
      </c>
      <c r="D13">
        <v>0</v>
      </c>
      <c r="E13">
        <v>0</v>
      </c>
      <c r="H13">
        <v>92</v>
      </c>
    </row>
    <row r="14" spans="1:9" x14ac:dyDescent="0.2">
      <c r="A14" s="1">
        <v>30</v>
      </c>
      <c r="B14">
        <f t="shared" si="0"/>
        <v>1</v>
      </c>
      <c r="C14">
        <v>0</v>
      </c>
      <c r="D14">
        <v>1</v>
      </c>
      <c r="E14">
        <v>0</v>
      </c>
      <c r="H14">
        <v>0</v>
      </c>
    </row>
    <row r="15" spans="1:9" x14ac:dyDescent="0.2">
      <c r="A15" s="1">
        <v>33</v>
      </c>
      <c r="B15">
        <f t="shared" si="0"/>
        <v>0</v>
      </c>
      <c r="C15">
        <v>0</v>
      </c>
      <c r="D15">
        <v>0</v>
      </c>
      <c r="E15">
        <v>0</v>
      </c>
      <c r="H15">
        <v>34</v>
      </c>
    </row>
    <row r="16" spans="1:9" x14ac:dyDescent="0.2">
      <c r="A16" s="1">
        <v>35</v>
      </c>
      <c r="B16">
        <f t="shared" si="0"/>
        <v>0</v>
      </c>
      <c r="C16">
        <v>0</v>
      </c>
      <c r="D16">
        <v>0</v>
      </c>
      <c r="E16">
        <v>0</v>
      </c>
      <c r="H16">
        <v>0</v>
      </c>
    </row>
    <row r="17" spans="1:8" x14ac:dyDescent="0.2">
      <c r="A17" s="1">
        <v>37</v>
      </c>
      <c r="B17">
        <f t="shared" si="0"/>
        <v>0</v>
      </c>
      <c r="C17">
        <v>0</v>
      </c>
      <c r="D17">
        <v>0</v>
      </c>
      <c r="E17">
        <v>0</v>
      </c>
      <c r="H17">
        <v>0</v>
      </c>
    </row>
    <row r="18" spans="1:8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H18">
        <v>0</v>
      </c>
    </row>
    <row r="19" spans="1:8" x14ac:dyDescent="0.2">
      <c r="A19" s="1">
        <v>44</v>
      </c>
      <c r="B19">
        <f t="shared" si="0"/>
        <v>0</v>
      </c>
      <c r="C19">
        <v>0</v>
      </c>
      <c r="D19">
        <v>0</v>
      </c>
      <c r="E19">
        <v>0</v>
      </c>
      <c r="H19">
        <v>44</v>
      </c>
    </row>
    <row r="20" spans="1:8" x14ac:dyDescent="0.2">
      <c r="A20" s="1">
        <v>47</v>
      </c>
      <c r="B20">
        <f t="shared" si="0"/>
        <v>1</v>
      </c>
      <c r="C20">
        <v>0</v>
      </c>
      <c r="D20">
        <v>0</v>
      </c>
      <c r="E20">
        <v>1</v>
      </c>
      <c r="H20">
        <v>48</v>
      </c>
    </row>
    <row r="21" spans="1:8" x14ac:dyDescent="0.2">
      <c r="A21" s="1">
        <v>49</v>
      </c>
      <c r="B21">
        <f t="shared" si="0"/>
        <v>0</v>
      </c>
      <c r="C21">
        <v>0</v>
      </c>
      <c r="D21">
        <v>0</v>
      </c>
      <c r="E21">
        <v>0</v>
      </c>
      <c r="H21">
        <v>10</v>
      </c>
    </row>
    <row r="22" spans="1:8" x14ac:dyDescent="0.2">
      <c r="A22" s="1">
        <v>56</v>
      </c>
      <c r="B22">
        <f t="shared" si="0"/>
        <v>0</v>
      </c>
      <c r="C22">
        <v>0</v>
      </c>
      <c r="D22">
        <v>0</v>
      </c>
      <c r="E22">
        <v>0</v>
      </c>
      <c r="H22">
        <v>10</v>
      </c>
    </row>
    <row r="23" spans="1:8" x14ac:dyDescent="0.2">
      <c r="A23" s="1">
        <v>58</v>
      </c>
      <c r="B23">
        <f t="shared" si="0"/>
        <v>0</v>
      </c>
      <c r="C23">
        <v>0</v>
      </c>
      <c r="D23">
        <v>0</v>
      </c>
      <c r="E23">
        <v>0</v>
      </c>
      <c r="H23">
        <v>21</v>
      </c>
    </row>
    <row r="24" spans="1:8" x14ac:dyDescent="0.2">
      <c r="A24" s="1">
        <v>60</v>
      </c>
      <c r="B24">
        <f t="shared" si="0"/>
        <v>0</v>
      </c>
      <c r="C24">
        <v>0</v>
      </c>
      <c r="D24">
        <v>0</v>
      </c>
      <c r="E24">
        <v>0</v>
      </c>
      <c r="H24">
        <v>24</v>
      </c>
    </row>
    <row r="25" spans="1:8" x14ac:dyDescent="0.2">
      <c r="A25" s="1">
        <v>61</v>
      </c>
      <c r="B25">
        <f t="shared" si="0"/>
        <v>0</v>
      </c>
      <c r="C25">
        <v>0</v>
      </c>
      <c r="D25">
        <v>0</v>
      </c>
      <c r="E25">
        <v>0</v>
      </c>
      <c r="H25">
        <v>38</v>
      </c>
    </row>
    <row r="26" spans="1:8" x14ac:dyDescent="0.2">
      <c r="A26" s="1">
        <v>62</v>
      </c>
      <c r="B26">
        <f t="shared" si="0"/>
        <v>2</v>
      </c>
      <c r="C26">
        <v>0</v>
      </c>
      <c r="D26">
        <v>0</v>
      </c>
      <c r="E26">
        <v>2</v>
      </c>
      <c r="H26">
        <v>44</v>
      </c>
    </row>
    <row r="27" spans="1:8" x14ac:dyDescent="0.2">
      <c r="A27" s="1">
        <v>63</v>
      </c>
      <c r="B27">
        <f t="shared" si="0"/>
        <v>1</v>
      </c>
      <c r="C27">
        <v>0</v>
      </c>
      <c r="D27">
        <v>1</v>
      </c>
      <c r="E27">
        <v>0</v>
      </c>
      <c r="H27">
        <v>82</v>
      </c>
    </row>
    <row r="28" spans="1:8" x14ac:dyDescent="0.2">
      <c r="A28" s="1">
        <v>65</v>
      </c>
      <c r="B28">
        <f t="shared" si="0"/>
        <v>1</v>
      </c>
      <c r="C28">
        <v>1</v>
      </c>
      <c r="D28">
        <v>0</v>
      </c>
      <c r="E28">
        <v>0</v>
      </c>
      <c r="H28">
        <v>92</v>
      </c>
    </row>
    <row r="29" spans="1:8" x14ac:dyDescent="0.2">
      <c r="A29" s="1">
        <v>66</v>
      </c>
      <c r="B29">
        <f t="shared" si="0"/>
        <v>0</v>
      </c>
      <c r="C29">
        <v>0</v>
      </c>
      <c r="D29">
        <v>0</v>
      </c>
      <c r="E29">
        <v>0</v>
      </c>
      <c r="H29">
        <v>52</v>
      </c>
    </row>
    <row r="30" spans="1:8" x14ac:dyDescent="0.2">
      <c r="A30" s="1">
        <v>68</v>
      </c>
      <c r="B30">
        <f t="shared" si="0"/>
        <v>0</v>
      </c>
      <c r="C30">
        <v>0</v>
      </c>
      <c r="D30">
        <v>0</v>
      </c>
      <c r="E30">
        <v>0</v>
      </c>
      <c r="H30">
        <v>30</v>
      </c>
    </row>
    <row r="31" spans="1:8" x14ac:dyDescent="0.2">
      <c r="A31" s="1">
        <v>69</v>
      </c>
      <c r="B31">
        <f t="shared" si="0"/>
        <v>0</v>
      </c>
      <c r="C31">
        <v>0</v>
      </c>
      <c r="D31">
        <v>0</v>
      </c>
      <c r="E31">
        <v>0</v>
      </c>
      <c r="H31">
        <v>78</v>
      </c>
    </row>
    <row r="32" spans="1:8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H32">
        <v>0</v>
      </c>
    </row>
    <row r="33" spans="1:8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H33">
        <v>0</v>
      </c>
    </row>
    <row r="34" spans="1:8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H34">
        <v>0</v>
      </c>
    </row>
    <row r="35" spans="1:8" x14ac:dyDescent="0.2">
      <c r="A35" s="1">
        <v>75</v>
      </c>
      <c r="B35">
        <f t="shared" si="0"/>
        <v>2</v>
      </c>
      <c r="C35">
        <v>1</v>
      </c>
      <c r="D35">
        <v>0</v>
      </c>
      <c r="E35">
        <v>1</v>
      </c>
      <c r="H35">
        <v>72</v>
      </c>
    </row>
    <row r="36" spans="1:8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H36">
        <v>0</v>
      </c>
    </row>
    <row r="37" spans="1:8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H37">
        <v>0</v>
      </c>
    </row>
    <row r="38" spans="1:8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H38">
        <v>0</v>
      </c>
    </row>
    <row r="39" spans="1:8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H39">
        <v>0</v>
      </c>
    </row>
    <row r="40" spans="1:8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H40">
        <v>0</v>
      </c>
    </row>
    <row r="41" spans="1:8" x14ac:dyDescent="0.2">
      <c r="A41" s="1">
        <v>82</v>
      </c>
      <c r="B41">
        <f t="shared" si="0"/>
        <v>0</v>
      </c>
      <c r="C41">
        <v>0</v>
      </c>
      <c r="D41">
        <v>0</v>
      </c>
      <c r="E41">
        <v>0</v>
      </c>
      <c r="H41">
        <v>16</v>
      </c>
    </row>
    <row r="42" spans="1:8" x14ac:dyDescent="0.2">
      <c r="A42" s="1">
        <v>86</v>
      </c>
      <c r="B42">
        <f t="shared" si="0"/>
        <v>2</v>
      </c>
      <c r="C42">
        <v>0</v>
      </c>
      <c r="D42">
        <v>0</v>
      </c>
      <c r="E42">
        <v>2</v>
      </c>
      <c r="H42">
        <v>10</v>
      </c>
    </row>
    <row r="43" spans="1:8" x14ac:dyDescent="0.2">
      <c r="A43" s="1">
        <v>90</v>
      </c>
      <c r="B43">
        <f t="shared" si="0"/>
        <v>1</v>
      </c>
      <c r="C43">
        <v>0</v>
      </c>
      <c r="D43">
        <v>1</v>
      </c>
      <c r="E43">
        <v>0</v>
      </c>
      <c r="H43">
        <v>0</v>
      </c>
    </row>
    <row r="44" spans="1:8" x14ac:dyDescent="0.2">
      <c r="A44" s="1">
        <v>91</v>
      </c>
      <c r="B44">
        <f t="shared" si="0"/>
        <v>2</v>
      </c>
      <c r="C44">
        <v>0</v>
      </c>
      <c r="D44">
        <v>0</v>
      </c>
      <c r="E44">
        <v>2</v>
      </c>
      <c r="H44">
        <v>16</v>
      </c>
    </row>
    <row r="45" spans="1:8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H45">
        <v>0</v>
      </c>
    </row>
    <row r="46" spans="1:8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H46">
        <v>0</v>
      </c>
    </row>
    <row r="47" spans="1:8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H47">
        <v>0</v>
      </c>
    </row>
    <row r="48" spans="1:8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H48">
        <v>0</v>
      </c>
    </row>
    <row r="49" spans="1:8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H49">
        <v>0</v>
      </c>
    </row>
    <row r="50" spans="1:8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H50">
        <v>0</v>
      </c>
    </row>
    <row r="51" spans="1:8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H51">
        <v>0</v>
      </c>
    </row>
    <row r="53" spans="1:8" x14ac:dyDescent="0.2">
      <c r="A5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6FE2-EBCC-D644-B04F-F524BFF8BD50}">
  <dimension ref="A1:F53"/>
  <sheetViews>
    <sheetView zoomScale="177" workbookViewId="0">
      <selection activeCell="B1" sqref="B1:F1"/>
    </sheetView>
  </sheetViews>
  <sheetFormatPr baseColWidth="10" defaultRowHeight="16" x14ac:dyDescent="0.2"/>
  <sheetData>
    <row r="1" spans="1:6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1</v>
      </c>
      <c r="B2">
        <f>SUM(C2:F2)</f>
        <v>1</v>
      </c>
      <c r="C2">
        <v>0</v>
      </c>
      <c r="D2">
        <v>0</v>
      </c>
      <c r="E2">
        <v>0</v>
      </c>
      <c r="F2">
        <v>1</v>
      </c>
    </row>
    <row r="3" spans="1:6" x14ac:dyDescent="0.2">
      <c r="A3" s="1">
        <v>2</v>
      </c>
      <c r="B3">
        <f t="shared" ref="B3:B51" si="0">SUM(C3:F3)</f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3</v>
      </c>
      <c r="B4">
        <f t="shared" si="0"/>
        <v>2</v>
      </c>
      <c r="C4">
        <v>0</v>
      </c>
      <c r="D4">
        <v>2</v>
      </c>
      <c r="E4">
        <v>0</v>
      </c>
      <c r="F4">
        <v>0</v>
      </c>
    </row>
    <row r="5" spans="1:6" x14ac:dyDescent="0.2">
      <c r="A5" s="1">
        <v>8</v>
      </c>
      <c r="B5">
        <f t="shared" si="0"/>
        <v>2</v>
      </c>
      <c r="C5">
        <v>0</v>
      </c>
      <c r="D5">
        <v>0</v>
      </c>
      <c r="E5">
        <v>0</v>
      </c>
      <c r="F5">
        <v>2</v>
      </c>
    </row>
    <row r="6" spans="1:6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21</v>
      </c>
      <c r="B10">
        <f t="shared" si="0"/>
        <v>4</v>
      </c>
      <c r="C10">
        <v>4</v>
      </c>
      <c r="D10">
        <v>0</v>
      </c>
      <c r="E10">
        <v>0</v>
      </c>
      <c r="F10">
        <v>0</v>
      </c>
    </row>
    <row r="11" spans="1:6" x14ac:dyDescent="0.2">
      <c r="A11" s="1">
        <v>22</v>
      </c>
      <c r="B11">
        <f t="shared" si="0"/>
        <v>1</v>
      </c>
      <c r="C11">
        <v>1</v>
      </c>
      <c r="D11">
        <v>0</v>
      </c>
      <c r="E11">
        <v>0</v>
      </c>
      <c r="F11">
        <v>0</v>
      </c>
    </row>
    <row r="12" spans="1:6" x14ac:dyDescent="0.2">
      <c r="A12" s="1">
        <v>25</v>
      </c>
      <c r="B12">
        <f t="shared" si="0"/>
        <v>6</v>
      </c>
      <c r="C12">
        <v>0</v>
      </c>
      <c r="D12">
        <v>6</v>
      </c>
      <c r="E12">
        <v>0</v>
      </c>
      <c r="F12">
        <v>0</v>
      </c>
    </row>
    <row r="13" spans="1:6" x14ac:dyDescent="0.2">
      <c r="A13" s="1">
        <v>28</v>
      </c>
      <c r="B13">
        <f t="shared" si="0"/>
        <v>5</v>
      </c>
      <c r="C13">
        <v>0</v>
      </c>
      <c r="D13">
        <v>0</v>
      </c>
      <c r="E13">
        <v>5</v>
      </c>
      <c r="F13">
        <v>0</v>
      </c>
    </row>
    <row r="14" spans="1:6" x14ac:dyDescent="0.2">
      <c r="A14" s="1">
        <v>30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33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35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37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44</v>
      </c>
      <c r="B19">
        <f t="shared" si="0"/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47</v>
      </c>
      <c r="B20">
        <f t="shared" si="0"/>
        <v>2</v>
      </c>
      <c r="C20">
        <v>0</v>
      </c>
      <c r="D20">
        <v>0</v>
      </c>
      <c r="E20">
        <v>0</v>
      </c>
      <c r="F20">
        <v>2</v>
      </c>
    </row>
    <row r="21" spans="1:6" x14ac:dyDescent="0.2">
      <c r="A21" s="1">
        <v>49</v>
      </c>
      <c r="B21">
        <f t="shared" si="0"/>
        <v>2</v>
      </c>
      <c r="C21">
        <v>0</v>
      </c>
      <c r="D21">
        <v>0</v>
      </c>
      <c r="E21">
        <v>2</v>
      </c>
      <c r="F21">
        <v>0</v>
      </c>
    </row>
    <row r="22" spans="1:6" x14ac:dyDescent="0.2">
      <c r="A22" s="1">
        <v>56</v>
      </c>
      <c r="B22">
        <f t="shared" si="0"/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58</v>
      </c>
      <c r="B23">
        <f t="shared" si="0"/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60</v>
      </c>
      <c r="B24">
        <f t="shared" si="0"/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61</v>
      </c>
      <c r="B25">
        <f t="shared" si="0"/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62</v>
      </c>
      <c r="B26">
        <f t="shared" si="0"/>
        <v>1</v>
      </c>
      <c r="C26">
        <v>0</v>
      </c>
      <c r="D26">
        <v>0</v>
      </c>
      <c r="E26">
        <v>1</v>
      </c>
      <c r="F26">
        <v>0</v>
      </c>
    </row>
    <row r="27" spans="1:6" x14ac:dyDescent="0.2">
      <c r="A27" s="1">
        <v>63</v>
      </c>
      <c r="B27">
        <f t="shared" si="0"/>
        <v>1</v>
      </c>
      <c r="C27">
        <v>1</v>
      </c>
      <c r="D27">
        <v>0</v>
      </c>
      <c r="E27">
        <v>0</v>
      </c>
      <c r="F27">
        <v>0</v>
      </c>
    </row>
    <row r="28" spans="1:6" x14ac:dyDescent="0.2">
      <c r="A28" s="1">
        <v>65</v>
      </c>
      <c r="B28">
        <f t="shared" si="0"/>
        <v>4</v>
      </c>
      <c r="C28">
        <v>4</v>
      </c>
      <c r="D28">
        <v>0</v>
      </c>
      <c r="E28">
        <v>0</v>
      </c>
      <c r="F28">
        <v>0</v>
      </c>
    </row>
    <row r="29" spans="1:6" x14ac:dyDescent="0.2">
      <c r="A29" s="1">
        <v>66</v>
      </c>
      <c r="B29">
        <f t="shared" si="0"/>
        <v>5</v>
      </c>
      <c r="C29">
        <v>0</v>
      </c>
      <c r="D29">
        <v>0</v>
      </c>
      <c r="E29">
        <v>0</v>
      </c>
      <c r="F29">
        <v>5</v>
      </c>
    </row>
    <row r="30" spans="1:6" x14ac:dyDescent="0.2">
      <c r="A30" s="1">
        <v>68</v>
      </c>
      <c r="B30">
        <f t="shared" si="0"/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 s="1">
        <v>69</v>
      </c>
      <c r="B31">
        <f t="shared" si="0"/>
        <v>2</v>
      </c>
      <c r="C31">
        <v>0</v>
      </c>
      <c r="D31">
        <v>0</v>
      </c>
      <c r="E31">
        <v>2</v>
      </c>
      <c r="F31">
        <v>0</v>
      </c>
    </row>
    <row r="32" spans="1:6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75</v>
      </c>
      <c r="B35">
        <f t="shared" si="0"/>
        <v>2</v>
      </c>
      <c r="C35">
        <v>0</v>
      </c>
      <c r="D35">
        <v>2</v>
      </c>
      <c r="E35">
        <v>0</v>
      </c>
      <c r="F35">
        <v>0</v>
      </c>
    </row>
    <row r="36" spans="1:6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82</v>
      </c>
      <c r="B41">
        <f t="shared" si="0"/>
        <v>0</v>
      </c>
      <c r="C41">
        <v>0</v>
      </c>
      <c r="D41">
        <v>0</v>
      </c>
      <c r="E41">
        <v>0</v>
      </c>
      <c r="F41">
        <v>0</v>
      </c>
    </row>
    <row r="42" spans="1:6" x14ac:dyDescent="0.2">
      <c r="A42" s="1">
        <v>86</v>
      </c>
      <c r="B42">
        <f t="shared" si="0"/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s="1">
        <v>90</v>
      </c>
      <c r="B43">
        <f t="shared" si="0"/>
        <v>0</v>
      </c>
      <c r="C43">
        <v>0</v>
      </c>
      <c r="D43">
        <v>0</v>
      </c>
      <c r="E43">
        <v>0</v>
      </c>
      <c r="F43">
        <v>0</v>
      </c>
    </row>
    <row r="44" spans="1:6" x14ac:dyDescent="0.2">
      <c r="A44" s="1">
        <v>91</v>
      </c>
      <c r="B44">
        <f t="shared" si="0"/>
        <v>0</v>
      </c>
      <c r="C44">
        <v>0</v>
      </c>
      <c r="D44">
        <v>0</v>
      </c>
      <c r="E44">
        <v>0</v>
      </c>
      <c r="F44">
        <v>0</v>
      </c>
    </row>
    <row r="45" spans="1:6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F51">
        <v>0</v>
      </c>
    </row>
    <row r="53" spans="1:6" x14ac:dyDescent="0.2">
      <c r="A53" t="s">
        <v>25</v>
      </c>
      <c r="B53">
        <f>SUM(C53:F53)</f>
        <v>5166</v>
      </c>
      <c r="C53">
        <v>1109</v>
      </c>
      <c r="D53">
        <v>1621</v>
      </c>
      <c r="E53">
        <v>1362</v>
      </c>
      <c r="F53">
        <v>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3720-B882-6E4A-8453-B7DCD5C27D42}">
  <dimension ref="A1:F51"/>
  <sheetViews>
    <sheetView zoomScale="109" workbookViewId="0">
      <selection activeCell="I17" sqref="I17"/>
    </sheetView>
  </sheetViews>
  <sheetFormatPr baseColWidth="10" defaultRowHeight="16" x14ac:dyDescent="0.2"/>
  <sheetData>
    <row r="1" spans="1:6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1</v>
      </c>
      <c r="B2">
        <f>SUM(C2:F2)</f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2</v>
      </c>
      <c r="B3">
        <f t="shared" ref="B3:B51" si="0">SUM(C3:F3)</f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3</v>
      </c>
      <c r="B4">
        <f t="shared" si="0"/>
        <v>3</v>
      </c>
      <c r="C4">
        <v>0</v>
      </c>
      <c r="D4">
        <v>3</v>
      </c>
      <c r="E4">
        <v>0</v>
      </c>
      <c r="F4">
        <v>0</v>
      </c>
    </row>
    <row r="5" spans="1:6" x14ac:dyDescent="0.2">
      <c r="A5" s="1">
        <v>8</v>
      </c>
      <c r="B5">
        <f t="shared" si="0"/>
        <v>2</v>
      </c>
      <c r="C5">
        <v>0</v>
      </c>
      <c r="D5">
        <v>0</v>
      </c>
      <c r="E5">
        <v>2</v>
      </c>
      <c r="F5">
        <v>0</v>
      </c>
    </row>
    <row r="6" spans="1:6" x14ac:dyDescent="0.2">
      <c r="A6" s="1">
        <v>13</v>
      </c>
      <c r="B6">
        <f t="shared" si="0"/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15</v>
      </c>
      <c r="B7">
        <f t="shared" si="0"/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17</v>
      </c>
      <c r="B8">
        <f t="shared" si="0"/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18</v>
      </c>
      <c r="B9">
        <f t="shared" si="0"/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21</v>
      </c>
      <c r="B10">
        <f t="shared" si="0"/>
        <v>9</v>
      </c>
      <c r="C10">
        <v>4</v>
      </c>
      <c r="D10">
        <v>2</v>
      </c>
      <c r="E10">
        <v>1</v>
      </c>
      <c r="F10">
        <v>2</v>
      </c>
    </row>
    <row r="11" spans="1:6" x14ac:dyDescent="0.2">
      <c r="A11" s="1">
        <v>22</v>
      </c>
      <c r="B11">
        <f t="shared" si="0"/>
        <v>5</v>
      </c>
      <c r="C11">
        <v>1</v>
      </c>
      <c r="D11">
        <v>0</v>
      </c>
      <c r="E11">
        <v>1</v>
      </c>
      <c r="F11">
        <v>3</v>
      </c>
    </row>
    <row r="12" spans="1:6" x14ac:dyDescent="0.2">
      <c r="A12" s="1">
        <v>25</v>
      </c>
      <c r="B12">
        <f t="shared" si="0"/>
        <v>3</v>
      </c>
      <c r="C12">
        <v>0</v>
      </c>
      <c r="D12">
        <v>3</v>
      </c>
      <c r="E12">
        <v>0</v>
      </c>
      <c r="F12">
        <v>0</v>
      </c>
    </row>
    <row r="13" spans="1:6" x14ac:dyDescent="0.2">
      <c r="A13" s="1">
        <v>28</v>
      </c>
      <c r="B13">
        <f t="shared" si="0"/>
        <v>6</v>
      </c>
      <c r="C13">
        <v>0</v>
      </c>
      <c r="D13">
        <v>0</v>
      </c>
      <c r="E13">
        <v>4</v>
      </c>
      <c r="F13">
        <v>2</v>
      </c>
    </row>
    <row r="14" spans="1:6" x14ac:dyDescent="0.2">
      <c r="A14" s="1">
        <v>30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33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35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37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38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44</v>
      </c>
      <c r="B19">
        <f t="shared" si="0"/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47</v>
      </c>
      <c r="B20">
        <f t="shared" si="0"/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49</v>
      </c>
      <c r="B21">
        <f t="shared" si="0"/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56</v>
      </c>
      <c r="B22">
        <f t="shared" si="0"/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58</v>
      </c>
      <c r="B23">
        <f t="shared" si="0"/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60</v>
      </c>
      <c r="B24">
        <f t="shared" si="0"/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61</v>
      </c>
      <c r="B25">
        <f t="shared" si="0"/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62</v>
      </c>
      <c r="B26">
        <f t="shared" si="0"/>
        <v>0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63</v>
      </c>
      <c r="B27">
        <f t="shared" si="0"/>
        <v>1</v>
      </c>
      <c r="C27">
        <v>1</v>
      </c>
      <c r="D27">
        <v>0</v>
      </c>
      <c r="E27">
        <v>0</v>
      </c>
      <c r="F27">
        <v>0</v>
      </c>
    </row>
    <row r="28" spans="1:6" x14ac:dyDescent="0.2">
      <c r="A28" s="1">
        <v>65</v>
      </c>
      <c r="B28">
        <f t="shared" si="0"/>
        <v>5</v>
      </c>
      <c r="C28">
        <v>4</v>
      </c>
      <c r="D28">
        <v>0</v>
      </c>
      <c r="E28">
        <v>0</v>
      </c>
      <c r="F28">
        <v>1</v>
      </c>
    </row>
    <row r="29" spans="1:6" x14ac:dyDescent="0.2">
      <c r="A29" s="1">
        <v>66</v>
      </c>
      <c r="B29">
        <f t="shared" si="0"/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 s="1">
        <v>68</v>
      </c>
      <c r="B30">
        <f t="shared" si="0"/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 s="1">
        <v>69</v>
      </c>
      <c r="B31">
        <f t="shared" si="0"/>
        <v>0</v>
      </c>
      <c r="C31">
        <v>0</v>
      </c>
      <c r="D31">
        <v>0</v>
      </c>
      <c r="E31">
        <v>0</v>
      </c>
      <c r="F31">
        <v>0</v>
      </c>
    </row>
    <row r="32" spans="1:6" x14ac:dyDescent="0.2">
      <c r="A32" s="1">
        <v>70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71</v>
      </c>
      <c r="B33">
        <f t="shared" si="0"/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73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75</v>
      </c>
      <c r="B35">
        <f t="shared" si="0"/>
        <v>2</v>
      </c>
      <c r="C35">
        <v>0</v>
      </c>
      <c r="D35">
        <v>2</v>
      </c>
      <c r="E35">
        <v>0</v>
      </c>
      <c r="F35">
        <v>0</v>
      </c>
    </row>
    <row r="36" spans="1:6" x14ac:dyDescent="0.2">
      <c r="A36" s="1">
        <v>76</v>
      </c>
      <c r="B36">
        <f t="shared" si="0"/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77</v>
      </c>
      <c r="B37">
        <f t="shared" si="0"/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79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80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81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82</v>
      </c>
      <c r="B41">
        <f t="shared" si="0"/>
        <v>0</v>
      </c>
      <c r="C41">
        <v>0</v>
      </c>
      <c r="D41">
        <v>0</v>
      </c>
      <c r="E41">
        <v>0</v>
      </c>
      <c r="F41">
        <v>0</v>
      </c>
    </row>
    <row r="42" spans="1:6" x14ac:dyDescent="0.2">
      <c r="A42" s="1">
        <v>86</v>
      </c>
      <c r="B42">
        <f t="shared" si="0"/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s="1">
        <v>90</v>
      </c>
      <c r="B43">
        <f t="shared" si="0"/>
        <v>4</v>
      </c>
      <c r="C43">
        <v>0</v>
      </c>
      <c r="D43">
        <v>0</v>
      </c>
      <c r="E43">
        <v>2</v>
      </c>
      <c r="F43">
        <v>2</v>
      </c>
    </row>
    <row r="44" spans="1:6" x14ac:dyDescent="0.2">
      <c r="A44" s="1">
        <v>91</v>
      </c>
      <c r="B44">
        <f t="shared" si="0"/>
        <v>0</v>
      </c>
      <c r="C44">
        <v>0</v>
      </c>
      <c r="D44">
        <v>0</v>
      </c>
      <c r="E44">
        <v>0</v>
      </c>
      <c r="F44">
        <v>0</v>
      </c>
    </row>
    <row r="45" spans="1:6" x14ac:dyDescent="0.2">
      <c r="A45" s="1">
        <v>92</v>
      </c>
      <c r="B45">
        <f t="shared" si="0"/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93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94</v>
      </c>
      <c r="B47">
        <f t="shared" si="0"/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96</v>
      </c>
      <c r="B48">
        <f t="shared" si="0"/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97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99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100</v>
      </c>
      <c r="B51">
        <f t="shared" si="0"/>
        <v>0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9618-ED29-2147-843E-7409517427FB}">
  <dimension ref="A1:F51"/>
  <sheetViews>
    <sheetView zoomScale="190" workbookViewId="0">
      <selection activeCell="E18" sqref="E18"/>
    </sheetView>
  </sheetViews>
  <sheetFormatPr baseColWidth="10" defaultRowHeight="16" x14ac:dyDescent="0.2"/>
  <sheetData>
    <row r="1" spans="1:6" x14ac:dyDescent="0.2">
      <c r="A1" s="1" t="s">
        <v>0</v>
      </c>
      <c r="B1" t="s">
        <v>3</v>
      </c>
      <c r="C1" t="s">
        <v>1</v>
      </c>
      <c r="D1" t="s">
        <v>7</v>
      </c>
      <c r="E1" t="s">
        <v>8</v>
      </c>
      <c r="F1" t="s">
        <v>9</v>
      </c>
    </row>
    <row r="2" spans="1:6" x14ac:dyDescent="0.2">
      <c r="A2" s="1">
        <v>1</v>
      </c>
      <c r="B2">
        <f>SUM(C2:F2)</f>
        <v>0</v>
      </c>
      <c r="C2">
        <v>0</v>
      </c>
      <c r="D2" s="2" t="s">
        <v>21</v>
      </c>
      <c r="E2" s="2" t="s">
        <v>21</v>
      </c>
      <c r="F2" s="2" t="s">
        <v>21</v>
      </c>
    </row>
    <row r="3" spans="1:6" x14ac:dyDescent="0.2">
      <c r="A3" s="1">
        <v>2</v>
      </c>
      <c r="B3">
        <f t="shared" ref="B3:B51" si="0">SUM(C3:F3)</f>
        <v>0</v>
      </c>
      <c r="C3">
        <v>0</v>
      </c>
      <c r="D3" s="2" t="s">
        <v>21</v>
      </c>
      <c r="E3" s="2" t="s">
        <v>21</v>
      </c>
      <c r="F3" s="2" t="s">
        <v>21</v>
      </c>
    </row>
    <row r="4" spans="1:6" x14ac:dyDescent="0.2">
      <c r="A4" s="1">
        <v>3</v>
      </c>
      <c r="B4">
        <f t="shared" si="0"/>
        <v>0</v>
      </c>
      <c r="C4">
        <v>0</v>
      </c>
      <c r="D4" s="2" t="s">
        <v>22</v>
      </c>
      <c r="E4" s="2" t="s">
        <v>21</v>
      </c>
      <c r="F4" s="2" t="s">
        <v>21</v>
      </c>
    </row>
    <row r="5" spans="1:6" x14ac:dyDescent="0.2">
      <c r="A5" s="1">
        <v>8</v>
      </c>
      <c r="B5">
        <f t="shared" si="0"/>
        <v>0</v>
      </c>
      <c r="C5">
        <v>0</v>
      </c>
      <c r="D5" s="2" t="s">
        <v>21</v>
      </c>
      <c r="E5" s="2" t="s">
        <v>21</v>
      </c>
      <c r="F5" s="2" t="s">
        <v>21</v>
      </c>
    </row>
    <row r="6" spans="1:6" x14ac:dyDescent="0.2">
      <c r="A6" s="1">
        <v>13</v>
      </c>
      <c r="B6">
        <f t="shared" si="0"/>
        <v>0</v>
      </c>
      <c r="C6">
        <v>0</v>
      </c>
      <c r="D6" s="2" t="s">
        <v>21</v>
      </c>
      <c r="E6" s="2" t="s">
        <v>21</v>
      </c>
      <c r="F6" s="2" t="s">
        <v>21</v>
      </c>
    </row>
    <row r="7" spans="1:6" x14ac:dyDescent="0.2">
      <c r="A7" s="1">
        <v>15</v>
      </c>
      <c r="B7">
        <f t="shared" si="0"/>
        <v>0</v>
      </c>
      <c r="C7">
        <v>0</v>
      </c>
      <c r="D7" s="2" t="s">
        <v>21</v>
      </c>
      <c r="E7" s="2" t="s">
        <v>21</v>
      </c>
      <c r="F7" s="2" t="s">
        <v>21</v>
      </c>
    </row>
    <row r="8" spans="1:6" x14ac:dyDescent="0.2">
      <c r="A8" s="1">
        <v>17</v>
      </c>
      <c r="B8">
        <f t="shared" si="0"/>
        <v>0</v>
      </c>
      <c r="C8">
        <v>0</v>
      </c>
      <c r="D8" s="2" t="s">
        <v>21</v>
      </c>
      <c r="E8" s="2" t="s">
        <v>21</v>
      </c>
      <c r="F8" s="2" t="s">
        <v>21</v>
      </c>
    </row>
    <row r="9" spans="1:6" x14ac:dyDescent="0.2">
      <c r="A9" s="1">
        <v>18</v>
      </c>
      <c r="B9">
        <f t="shared" si="0"/>
        <v>0</v>
      </c>
      <c r="C9">
        <v>0</v>
      </c>
      <c r="D9" s="2" t="s">
        <v>21</v>
      </c>
      <c r="E9" s="2" t="s">
        <v>21</v>
      </c>
      <c r="F9" s="2" t="s">
        <v>21</v>
      </c>
    </row>
    <row r="10" spans="1:6" x14ac:dyDescent="0.2">
      <c r="A10" s="1">
        <v>21</v>
      </c>
      <c r="B10">
        <f t="shared" si="0"/>
        <v>4</v>
      </c>
      <c r="C10">
        <v>4</v>
      </c>
      <c r="D10" s="2" t="s">
        <v>23</v>
      </c>
      <c r="E10" s="2" t="s">
        <v>23</v>
      </c>
      <c r="F10" s="2" t="s">
        <v>23</v>
      </c>
    </row>
    <row r="11" spans="1:6" x14ac:dyDescent="0.2">
      <c r="A11" s="1">
        <v>22</v>
      </c>
      <c r="B11">
        <f t="shared" si="0"/>
        <v>1</v>
      </c>
      <c r="C11">
        <v>1</v>
      </c>
      <c r="D11" s="2" t="s">
        <v>23</v>
      </c>
      <c r="E11" s="2" t="s">
        <v>24</v>
      </c>
      <c r="F11" s="2" t="s">
        <v>24</v>
      </c>
    </row>
    <row r="12" spans="1:6" x14ac:dyDescent="0.2">
      <c r="A12" s="1">
        <v>25</v>
      </c>
      <c r="B12">
        <f t="shared" si="0"/>
        <v>0</v>
      </c>
      <c r="C12">
        <v>0</v>
      </c>
      <c r="D12" s="2" t="s">
        <v>21</v>
      </c>
      <c r="E12" s="2" t="s">
        <v>24</v>
      </c>
      <c r="F12" s="2" t="s">
        <v>24</v>
      </c>
    </row>
    <row r="13" spans="1:6" x14ac:dyDescent="0.2">
      <c r="A13" s="1">
        <v>28</v>
      </c>
      <c r="B13">
        <f t="shared" si="0"/>
        <v>0</v>
      </c>
      <c r="C13">
        <v>0</v>
      </c>
      <c r="D13" s="2" t="s">
        <v>22</v>
      </c>
      <c r="E13" s="2" t="s">
        <v>21</v>
      </c>
      <c r="F13" s="2" t="s">
        <v>21</v>
      </c>
    </row>
    <row r="14" spans="1:6" x14ac:dyDescent="0.2">
      <c r="A14" s="1">
        <v>30</v>
      </c>
      <c r="B14">
        <f t="shared" si="0"/>
        <v>0</v>
      </c>
      <c r="C14">
        <v>0</v>
      </c>
      <c r="D14" s="2" t="s">
        <v>21</v>
      </c>
      <c r="E14" s="2" t="s">
        <v>21</v>
      </c>
      <c r="F14" s="2" t="s">
        <v>21</v>
      </c>
    </row>
    <row r="15" spans="1:6" x14ac:dyDescent="0.2">
      <c r="A15" s="1">
        <v>33</v>
      </c>
      <c r="B15">
        <f t="shared" si="0"/>
        <v>0</v>
      </c>
      <c r="C15">
        <v>0</v>
      </c>
      <c r="D15" s="2" t="s">
        <v>21</v>
      </c>
      <c r="E15" s="2" t="s">
        <v>21</v>
      </c>
      <c r="F15" s="2" t="s">
        <v>21</v>
      </c>
    </row>
    <row r="16" spans="1:6" x14ac:dyDescent="0.2">
      <c r="A16" s="1">
        <v>35</v>
      </c>
      <c r="B16">
        <f t="shared" si="0"/>
        <v>0</v>
      </c>
      <c r="C16">
        <v>0</v>
      </c>
      <c r="D16" s="2" t="s">
        <v>21</v>
      </c>
      <c r="E16" s="2" t="s">
        <v>21</v>
      </c>
      <c r="F16" s="2" t="s">
        <v>21</v>
      </c>
    </row>
    <row r="17" spans="1:6" x14ac:dyDescent="0.2">
      <c r="A17" s="1">
        <v>37</v>
      </c>
      <c r="B17">
        <f t="shared" si="0"/>
        <v>0</v>
      </c>
      <c r="C17">
        <v>0</v>
      </c>
      <c r="D17" s="2" t="s">
        <v>21</v>
      </c>
      <c r="E17" s="2" t="s">
        <v>21</v>
      </c>
      <c r="F17" s="2" t="s">
        <v>21</v>
      </c>
    </row>
    <row r="18" spans="1:6" x14ac:dyDescent="0.2">
      <c r="A18" s="1">
        <v>38</v>
      </c>
      <c r="B18">
        <f t="shared" si="0"/>
        <v>0</v>
      </c>
      <c r="C18">
        <v>0</v>
      </c>
      <c r="D18" s="2" t="s">
        <v>21</v>
      </c>
      <c r="E18" s="2" t="s">
        <v>21</v>
      </c>
      <c r="F18" s="2" t="s">
        <v>21</v>
      </c>
    </row>
    <row r="19" spans="1:6" x14ac:dyDescent="0.2">
      <c r="A19" s="1">
        <v>44</v>
      </c>
      <c r="B19">
        <f t="shared" si="0"/>
        <v>0</v>
      </c>
      <c r="C19">
        <v>0</v>
      </c>
      <c r="D19" s="2" t="s">
        <v>21</v>
      </c>
      <c r="E19" s="2" t="s">
        <v>21</v>
      </c>
      <c r="F19" s="2" t="s">
        <v>21</v>
      </c>
    </row>
    <row r="20" spans="1:6" x14ac:dyDescent="0.2">
      <c r="A20" s="1">
        <v>47</v>
      </c>
      <c r="B20">
        <f t="shared" si="0"/>
        <v>0</v>
      </c>
      <c r="C20">
        <v>0</v>
      </c>
      <c r="D20" s="2" t="s">
        <v>21</v>
      </c>
      <c r="E20" s="2" t="s">
        <v>21</v>
      </c>
      <c r="F20" s="2" t="s">
        <v>21</v>
      </c>
    </row>
    <row r="21" spans="1:6" x14ac:dyDescent="0.2">
      <c r="A21" s="1">
        <v>49</v>
      </c>
      <c r="B21">
        <f t="shared" si="0"/>
        <v>0</v>
      </c>
      <c r="C21">
        <v>0</v>
      </c>
      <c r="D21" s="2" t="s">
        <v>21</v>
      </c>
      <c r="E21" s="2" t="s">
        <v>21</v>
      </c>
      <c r="F21" s="2" t="s">
        <v>21</v>
      </c>
    </row>
    <row r="22" spans="1:6" x14ac:dyDescent="0.2">
      <c r="A22" s="1">
        <v>56</v>
      </c>
      <c r="B22">
        <f t="shared" si="0"/>
        <v>0</v>
      </c>
      <c r="C22">
        <v>0</v>
      </c>
      <c r="D22" s="2" t="s">
        <v>21</v>
      </c>
      <c r="E22" s="2" t="s">
        <v>21</v>
      </c>
      <c r="F22" s="2" t="s">
        <v>21</v>
      </c>
    </row>
    <row r="23" spans="1:6" x14ac:dyDescent="0.2">
      <c r="A23" s="1">
        <v>58</v>
      </c>
      <c r="B23">
        <f t="shared" si="0"/>
        <v>0</v>
      </c>
      <c r="C23">
        <v>0</v>
      </c>
      <c r="D23" s="2" t="s">
        <v>21</v>
      </c>
      <c r="E23" s="2" t="s">
        <v>21</v>
      </c>
      <c r="F23" s="2" t="s">
        <v>21</v>
      </c>
    </row>
    <row r="24" spans="1:6" x14ac:dyDescent="0.2">
      <c r="A24" s="1">
        <v>60</v>
      </c>
      <c r="B24">
        <f t="shared" si="0"/>
        <v>0</v>
      </c>
      <c r="C24">
        <v>0</v>
      </c>
      <c r="D24" s="2" t="s">
        <v>21</v>
      </c>
      <c r="E24" s="2" t="s">
        <v>21</v>
      </c>
      <c r="F24" s="2" t="s">
        <v>21</v>
      </c>
    </row>
    <row r="25" spans="1:6" x14ac:dyDescent="0.2">
      <c r="A25" s="1">
        <v>61</v>
      </c>
      <c r="B25">
        <f t="shared" si="0"/>
        <v>0</v>
      </c>
      <c r="C25">
        <v>0</v>
      </c>
      <c r="D25" s="2" t="s">
        <v>21</v>
      </c>
      <c r="E25" s="2" t="s">
        <v>21</v>
      </c>
      <c r="F25" s="2" t="s">
        <v>21</v>
      </c>
    </row>
    <row r="26" spans="1:6" x14ac:dyDescent="0.2">
      <c r="A26" s="1">
        <v>62</v>
      </c>
      <c r="B26">
        <f t="shared" si="0"/>
        <v>0</v>
      </c>
      <c r="C26">
        <v>0</v>
      </c>
      <c r="D26" s="2" t="s">
        <v>21</v>
      </c>
      <c r="E26" s="2" t="s">
        <v>21</v>
      </c>
      <c r="F26" s="2" t="s">
        <v>21</v>
      </c>
    </row>
    <row r="27" spans="1:6" x14ac:dyDescent="0.2">
      <c r="A27" s="1">
        <v>63</v>
      </c>
      <c r="B27">
        <f t="shared" si="0"/>
        <v>1</v>
      </c>
      <c r="C27">
        <v>1</v>
      </c>
      <c r="D27" s="2" t="s">
        <v>21</v>
      </c>
      <c r="E27" s="2" t="s">
        <v>24</v>
      </c>
      <c r="F27" s="2" t="s">
        <v>21</v>
      </c>
    </row>
    <row r="28" spans="1:6" x14ac:dyDescent="0.2">
      <c r="A28" s="1">
        <v>65</v>
      </c>
      <c r="B28">
        <f t="shared" si="0"/>
        <v>4</v>
      </c>
      <c r="C28">
        <v>4</v>
      </c>
      <c r="D28" s="2" t="s">
        <v>22</v>
      </c>
      <c r="E28" s="2" t="s">
        <v>21</v>
      </c>
      <c r="F28" s="2" t="s">
        <v>22</v>
      </c>
    </row>
    <row r="29" spans="1:6" x14ac:dyDescent="0.2">
      <c r="A29" s="1">
        <v>66</v>
      </c>
      <c r="B29">
        <f t="shared" si="0"/>
        <v>0</v>
      </c>
      <c r="C29">
        <v>0</v>
      </c>
      <c r="D29" s="2" t="s">
        <v>21</v>
      </c>
      <c r="E29" s="2" t="s">
        <v>21</v>
      </c>
      <c r="F29" s="2" t="s">
        <v>21</v>
      </c>
    </row>
    <row r="30" spans="1:6" x14ac:dyDescent="0.2">
      <c r="A30" s="1">
        <v>68</v>
      </c>
      <c r="B30">
        <f t="shared" si="0"/>
        <v>0</v>
      </c>
      <c r="C30">
        <v>0</v>
      </c>
      <c r="D30" s="2" t="s">
        <v>21</v>
      </c>
      <c r="E30" s="2" t="s">
        <v>21</v>
      </c>
      <c r="F30" s="2" t="s">
        <v>21</v>
      </c>
    </row>
    <row r="31" spans="1:6" x14ac:dyDescent="0.2">
      <c r="A31" s="1">
        <v>69</v>
      </c>
      <c r="B31">
        <f t="shared" si="0"/>
        <v>0</v>
      </c>
      <c r="C31">
        <v>0</v>
      </c>
      <c r="D31" s="2" t="s">
        <v>21</v>
      </c>
      <c r="E31" s="2" t="s">
        <v>21</v>
      </c>
      <c r="F31" s="2" t="s">
        <v>21</v>
      </c>
    </row>
    <row r="32" spans="1:6" x14ac:dyDescent="0.2">
      <c r="A32" s="1">
        <v>70</v>
      </c>
      <c r="B32">
        <f t="shared" si="0"/>
        <v>0</v>
      </c>
      <c r="C32">
        <v>0</v>
      </c>
      <c r="D32" s="2" t="s">
        <v>21</v>
      </c>
      <c r="E32" s="2" t="s">
        <v>21</v>
      </c>
      <c r="F32" s="2" t="s">
        <v>21</v>
      </c>
    </row>
    <row r="33" spans="1:6" x14ac:dyDescent="0.2">
      <c r="A33" s="1">
        <v>71</v>
      </c>
      <c r="B33">
        <f t="shared" si="0"/>
        <v>0</v>
      </c>
      <c r="C33">
        <v>0</v>
      </c>
      <c r="D33" s="2" t="s">
        <v>21</v>
      </c>
      <c r="E33" s="2" t="s">
        <v>21</v>
      </c>
      <c r="F33" s="2" t="s">
        <v>21</v>
      </c>
    </row>
    <row r="34" spans="1:6" x14ac:dyDescent="0.2">
      <c r="A34" s="1">
        <v>73</v>
      </c>
      <c r="B34">
        <f t="shared" si="0"/>
        <v>0</v>
      </c>
      <c r="C34">
        <v>0</v>
      </c>
      <c r="D34" s="2" t="s">
        <v>21</v>
      </c>
      <c r="E34" s="2" t="s">
        <v>21</v>
      </c>
      <c r="F34" s="2" t="s">
        <v>21</v>
      </c>
    </row>
    <row r="35" spans="1:6" x14ac:dyDescent="0.2">
      <c r="A35" s="1">
        <v>75</v>
      </c>
      <c r="B35">
        <f t="shared" si="0"/>
        <v>0</v>
      </c>
      <c r="C35">
        <v>0</v>
      </c>
      <c r="D35" s="2" t="s">
        <v>22</v>
      </c>
      <c r="E35" s="2" t="s">
        <v>22</v>
      </c>
      <c r="F35" s="2" t="s">
        <v>24</v>
      </c>
    </row>
    <row r="36" spans="1:6" x14ac:dyDescent="0.2">
      <c r="A36" s="1">
        <v>76</v>
      </c>
      <c r="B36">
        <f t="shared" si="0"/>
        <v>0</v>
      </c>
      <c r="C36">
        <v>0</v>
      </c>
      <c r="D36" s="2" t="s">
        <v>21</v>
      </c>
      <c r="E36" s="2" t="s">
        <v>21</v>
      </c>
      <c r="F36" s="2" t="s">
        <v>21</v>
      </c>
    </row>
    <row r="37" spans="1:6" x14ac:dyDescent="0.2">
      <c r="A37" s="1">
        <v>77</v>
      </c>
      <c r="B37">
        <f t="shared" si="0"/>
        <v>0</v>
      </c>
      <c r="C37">
        <v>0</v>
      </c>
      <c r="D37" s="2" t="s">
        <v>21</v>
      </c>
      <c r="E37" s="2" t="s">
        <v>21</v>
      </c>
      <c r="F37" s="2" t="s">
        <v>21</v>
      </c>
    </row>
    <row r="38" spans="1:6" x14ac:dyDescent="0.2">
      <c r="A38" s="1">
        <v>79</v>
      </c>
      <c r="B38">
        <f t="shared" si="0"/>
        <v>0</v>
      </c>
      <c r="C38">
        <v>0</v>
      </c>
      <c r="D38" s="2" t="s">
        <v>21</v>
      </c>
      <c r="E38" s="2" t="s">
        <v>21</v>
      </c>
      <c r="F38" s="2" t="s">
        <v>21</v>
      </c>
    </row>
    <row r="39" spans="1:6" x14ac:dyDescent="0.2">
      <c r="A39" s="1">
        <v>80</v>
      </c>
      <c r="B39">
        <f t="shared" si="0"/>
        <v>0</v>
      </c>
      <c r="C39">
        <v>0</v>
      </c>
      <c r="D39" s="2" t="s">
        <v>21</v>
      </c>
      <c r="E39" s="2" t="s">
        <v>21</v>
      </c>
      <c r="F39" s="2" t="s">
        <v>21</v>
      </c>
    </row>
    <row r="40" spans="1:6" x14ac:dyDescent="0.2">
      <c r="A40" s="1">
        <v>81</v>
      </c>
      <c r="B40">
        <f t="shared" si="0"/>
        <v>0</v>
      </c>
      <c r="C40">
        <v>0</v>
      </c>
      <c r="D40" s="2" t="s">
        <v>21</v>
      </c>
      <c r="E40" s="2" t="s">
        <v>21</v>
      </c>
      <c r="F40" s="2" t="s">
        <v>21</v>
      </c>
    </row>
    <row r="41" spans="1:6" x14ac:dyDescent="0.2">
      <c r="A41" s="1">
        <v>82</v>
      </c>
      <c r="B41">
        <f t="shared" si="0"/>
        <v>0</v>
      </c>
      <c r="C41">
        <v>0</v>
      </c>
      <c r="D41" s="2" t="s">
        <v>21</v>
      </c>
      <c r="E41" s="2" t="s">
        <v>21</v>
      </c>
      <c r="F41" s="2" t="s">
        <v>21</v>
      </c>
    </row>
    <row r="42" spans="1:6" x14ac:dyDescent="0.2">
      <c r="A42" s="1">
        <v>86</v>
      </c>
      <c r="B42">
        <f t="shared" si="0"/>
        <v>0</v>
      </c>
      <c r="C42">
        <v>0</v>
      </c>
      <c r="D42" s="2" t="s">
        <v>21</v>
      </c>
      <c r="E42" s="2" t="s">
        <v>21</v>
      </c>
      <c r="F42" s="2" t="s">
        <v>21</v>
      </c>
    </row>
    <row r="43" spans="1:6" x14ac:dyDescent="0.2">
      <c r="A43" s="1">
        <v>90</v>
      </c>
      <c r="B43">
        <f t="shared" si="0"/>
        <v>0</v>
      </c>
      <c r="C43">
        <v>0</v>
      </c>
      <c r="D43" s="2" t="s">
        <v>21</v>
      </c>
      <c r="E43" s="2" t="s">
        <v>21</v>
      </c>
      <c r="F43" s="2" t="s">
        <v>21</v>
      </c>
    </row>
    <row r="44" spans="1:6" x14ac:dyDescent="0.2">
      <c r="A44" s="1">
        <v>91</v>
      </c>
      <c r="B44">
        <f t="shared" si="0"/>
        <v>0</v>
      </c>
      <c r="C44">
        <v>0</v>
      </c>
      <c r="D44" s="2" t="s">
        <v>21</v>
      </c>
      <c r="E44" s="2" t="s">
        <v>21</v>
      </c>
      <c r="F44" s="2" t="s">
        <v>21</v>
      </c>
    </row>
    <row r="45" spans="1:6" x14ac:dyDescent="0.2">
      <c r="A45" s="1">
        <v>92</v>
      </c>
      <c r="B45">
        <f t="shared" si="0"/>
        <v>0</v>
      </c>
      <c r="C45">
        <v>0</v>
      </c>
      <c r="D45" s="2" t="s">
        <v>21</v>
      </c>
      <c r="E45" s="2" t="s">
        <v>21</v>
      </c>
      <c r="F45" s="2" t="s">
        <v>21</v>
      </c>
    </row>
    <row r="46" spans="1:6" x14ac:dyDescent="0.2">
      <c r="A46" s="1">
        <v>93</v>
      </c>
      <c r="B46">
        <f t="shared" si="0"/>
        <v>0</v>
      </c>
      <c r="C46">
        <v>0</v>
      </c>
      <c r="D46" s="2" t="s">
        <v>21</v>
      </c>
      <c r="E46" s="2" t="s">
        <v>21</v>
      </c>
      <c r="F46" s="2" t="s">
        <v>21</v>
      </c>
    </row>
    <row r="47" spans="1:6" x14ac:dyDescent="0.2">
      <c r="A47" s="1">
        <v>94</v>
      </c>
      <c r="B47">
        <f t="shared" si="0"/>
        <v>0</v>
      </c>
      <c r="C47">
        <v>0</v>
      </c>
      <c r="D47" s="2" t="s">
        <v>21</v>
      </c>
      <c r="E47" s="2" t="s">
        <v>21</v>
      </c>
      <c r="F47" s="2" t="s">
        <v>21</v>
      </c>
    </row>
    <row r="48" spans="1:6" x14ac:dyDescent="0.2">
      <c r="A48" s="1">
        <v>96</v>
      </c>
      <c r="B48">
        <f t="shared" si="0"/>
        <v>0</v>
      </c>
      <c r="C48">
        <v>0</v>
      </c>
      <c r="D48" s="2" t="s">
        <v>21</v>
      </c>
      <c r="E48" s="2" t="s">
        <v>21</v>
      </c>
      <c r="F48" s="2" t="s">
        <v>21</v>
      </c>
    </row>
    <row r="49" spans="1:6" x14ac:dyDescent="0.2">
      <c r="A49" s="1">
        <v>97</v>
      </c>
      <c r="B49">
        <f t="shared" si="0"/>
        <v>0</v>
      </c>
      <c r="C49">
        <v>0</v>
      </c>
      <c r="D49" s="2" t="s">
        <v>21</v>
      </c>
      <c r="E49" s="2" t="s">
        <v>21</v>
      </c>
      <c r="F49" s="2" t="s">
        <v>21</v>
      </c>
    </row>
    <row r="50" spans="1:6" x14ac:dyDescent="0.2">
      <c r="A50" s="1">
        <v>99</v>
      </c>
      <c r="B50">
        <f t="shared" si="0"/>
        <v>0</v>
      </c>
      <c r="C50">
        <v>0</v>
      </c>
      <c r="D50" s="2" t="s">
        <v>21</v>
      </c>
      <c r="E50" s="2" t="s">
        <v>21</v>
      </c>
      <c r="F50" s="2" t="s">
        <v>21</v>
      </c>
    </row>
    <row r="51" spans="1:6" x14ac:dyDescent="0.2">
      <c r="A51" s="1">
        <v>100</v>
      </c>
      <c r="B51">
        <f t="shared" si="0"/>
        <v>0</v>
      </c>
      <c r="C51">
        <v>0</v>
      </c>
      <c r="D51" s="2">
        <v>0</v>
      </c>
      <c r="E51" s="2">
        <v>0</v>
      </c>
      <c r="F51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8D9E-EDB6-844F-AE4C-E09018E5AB69}">
  <dimension ref="A1"/>
  <sheetViews>
    <sheetView zoomScale="15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working_hours_by_nurse</vt:lpstr>
      <vt:lpstr>myopic</vt:lpstr>
      <vt:lpstr>baseline</vt:lpstr>
      <vt:lpstr>travel_cost</vt:lpstr>
      <vt:lpstr>leaders_by_nurse</vt:lpstr>
      <vt:lpstr>leaders_by_nurse_old</vt:lpstr>
      <vt:lpstr>baseline_leader</vt:lpstr>
      <vt:lpstr>myopic_leader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2026-03-12T14:39:52Z</dcterms:created>
  <dcterms:modified xsi:type="dcterms:W3CDTF">2026-03-26T17:01:09Z</dcterms:modified>
</cp:coreProperties>
</file>