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inghongmiao/Code/mvt-code/"/>
    </mc:Choice>
  </mc:AlternateContent>
  <xr:revisionPtr revIDLastSave="0" documentId="13_ncr:1_{ED585835-4F14-3F45-903F-9ADFBE01C26E}" xr6:coauthVersionLast="47" xr6:coauthVersionMax="47" xr10:uidLastSave="{00000000-0000-0000-0000-000000000000}"/>
  <bookViews>
    <workbookView xWindow="20" yWindow="760" windowWidth="30240" windowHeight="18880" activeTab="7" xr2:uid="{DC67C3A7-B510-8046-B152-656B0754A207}"/>
  </bookViews>
  <sheets>
    <sheet name="Sheet1" sheetId="1" r:id="rId1"/>
    <sheet name="Sheet3" sheetId="10" r:id="rId2"/>
    <sheet name="Sheet2" sheetId="2" r:id="rId3"/>
    <sheet name="wrong" sheetId="3" r:id="rId4"/>
    <sheet name="Sheet4" sheetId="4" r:id="rId5"/>
    <sheet name="greedy" sheetId="5" r:id="rId6"/>
    <sheet name="greedy-tw" sheetId="6" r:id="rId7"/>
    <sheet name="greedy-tw-carc" sheetId="7" r:id="rId8"/>
    <sheet name="present" sheetId="11" r:id="rId9"/>
    <sheet name="greedy-tw-lagrange" sheetId="9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" i="11" l="1"/>
  <c r="F5" i="11"/>
  <c r="F6" i="11"/>
  <c r="F7" i="11"/>
  <c r="F9" i="11"/>
  <c r="F10" i="11"/>
  <c r="F11" i="11"/>
  <c r="F12" i="11"/>
  <c r="F13" i="11"/>
  <c r="F15" i="11"/>
  <c r="F16" i="11"/>
  <c r="F17" i="11"/>
  <c r="F18" i="11"/>
  <c r="F19" i="11"/>
  <c r="F21" i="11"/>
  <c r="F22" i="11"/>
  <c r="F23" i="11"/>
  <c r="F24" i="11"/>
  <c r="F25" i="11"/>
  <c r="F3" i="11"/>
  <c r="G4" i="11"/>
  <c r="G5" i="11"/>
  <c r="G6" i="11"/>
  <c r="G7" i="11"/>
  <c r="G9" i="11"/>
  <c r="G10" i="11"/>
  <c r="G11" i="11"/>
  <c r="G12" i="11"/>
  <c r="G13" i="11"/>
  <c r="G15" i="11"/>
  <c r="G16" i="11"/>
  <c r="G17" i="11"/>
  <c r="G18" i="11"/>
  <c r="G19" i="11"/>
  <c r="G21" i="11"/>
  <c r="G22" i="11"/>
  <c r="G23" i="11"/>
  <c r="G24" i="11"/>
  <c r="G25" i="11"/>
  <c r="G3" i="11"/>
  <c r="J25" i="11"/>
  <c r="J24" i="11"/>
  <c r="J23" i="11"/>
  <c r="J22" i="11"/>
  <c r="J21" i="11"/>
  <c r="J19" i="11"/>
  <c r="J18" i="11"/>
  <c r="J17" i="11"/>
  <c r="J16" i="11"/>
  <c r="J15" i="11"/>
  <c r="J13" i="11"/>
  <c r="J12" i="11"/>
  <c r="J11" i="11"/>
  <c r="J10" i="11"/>
  <c r="J9" i="11"/>
  <c r="J7" i="11"/>
  <c r="J6" i="11"/>
  <c r="J5" i="11"/>
  <c r="J4" i="11"/>
  <c r="J3" i="11"/>
  <c r="AA24" i="9" l="1"/>
  <c r="Z24" i="9"/>
  <c r="Y24" i="9"/>
  <c r="D24" i="9"/>
  <c r="AA23" i="9"/>
  <c r="Z23" i="9"/>
  <c r="Y23" i="9"/>
  <c r="D23" i="9"/>
  <c r="AA22" i="9"/>
  <c r="Z22" i="9"/>
  <c r="Y22" i="9"/>
  <c r="D22" i="9"/>
  <c r="AA21" i="9"/>
  <c r="Z21" i="9"/>
  <c r="Y21" i="9"/>
  <c r="D21" i="9"/>
  <c r="AA20" i="9"/>
  <c r="Z20" i="9"/>
  <c r="Y20" i="9"/>
  <c r="D20" i="9"/>
  <c r="AA18" i="9"/>
  <c r="Z18" i="9"/>
  <c r="Y18" i="9"/>
  <c r="D18" i="9"/>
  <c r="AA17" i="9"/>
  <c r="Z17" i="9"/>
  <c r="Y17" i="9"/>
  <c r="D17" i="9"/>
  <c r="AA16" i="9"/>
  <c r="Z16" i="9"/>
  <c r="Y16" i="9"/>
  <c r="D16" i="9"/>
  <c r="AA15" i="9"/>
  <c r="Z15" i="9"/>
  <c r="Y15" i="9"/>
  <c r="D15" i="9"/>
  <c r="AA14" i="9"/>
  <c r="Z14" i="9"/>
  <c r="Y14" i="9"/>
  <c r="D14" i="9"/>
  <c r="AA12" i="9"/>
  <c r="Z12" i="9"/>
  <c r="Y12" i="9"/>
  <c r="D12" i="9"/>
  <c r="AA11" i="9"/>
  <c r="Z11" i="9"/>
  <c r="Y11" i="9"/>
  <c r="D11" i="9"/>
  <c r="AA10" i="9"/>
  <c r="Z10" i="9"/>
  <c r="Y10" i="9"/>
  <c r="D10" i="9"/>
  <c r="AA9" i="9"/>
  <c r="Z9" i="9"/>
  <c r="Y9" i="9"/>
  <c r="D9" i="9"/>
  <c r="AA8" i="9"/>
  <c r="Z8" i="9"/>
  <c r="Y8" i="9"/>
  <c r="D8" i="9"/>
  <c r="AA6" i="9"/>
  <c r="Z6" i="9"/>
  <c r="Y6" i="9"/>
  <c r="D6" i="9"/>
  <c r="AA5" i="9"/>
  <c r="Z5" i="9"/>
  <c r="Y5" i="9"/>
  <c r="D5" i="9"/>
  <c r="AA4" i="9"/>
  <c r="Z4" i="9"/>
  <c r="Y4" i="9"/>
  <c r="D4" i="9"/>
  <c r="AA3" i="9"/>
  <c r="Z3" i="9"/>
  <c r="Y3" i="9"/>
  <c r="D3" i="9"/>
  <c r="AA2" i="9"/>
  <c r="Z2" i="9"/>
  <c r="Y2" i="9"/>
  <c r="D2" i="9"/>
  <c r="D3" i="7"/>
  <c r="D4" i="7"/>
  <c r="D5" i="7"/>
  <c r="D6" i="7"/>
  <c r="D8" i="7"/>
  <c r="D9" i="7"/>
  <c r="D10" i="7"/>
  <c r="D11" i="7"/>
  <c r="D12" i="7"/>
  <c r="D14" i="7"/>
  <c r="D15" i="7"/>
  <c r="D16" i="7"/>
  <c r="D17" i="7"/>
  <c r="D18" i="7"/>
  <c r="D20" i="7"/>
  <c r="D21" i="7"/>
  <c r="D22" i="7"/>
  <c r="D23" i="7"/>
  <c r="D24" i="7"/>
  <c r="D2" i="7"/>
  <c r="M12" i="5"/>
  <c r="M7" i="5"/>
  <c r="M2" i="5"/>
  <c r="M17" i="5"/>
  <c r="P4" i="7"/>
  <c r="Q4" i="7"/>
  <c r="R4" i="7"/>
  <c r="P9" i="7"/>
  <c r="Q9" i="7"/>
  <c r="R9" i="7"/>
  <c r="P10" i="7"/>
  <c r="Q10" i="7"/>
  <c r="R10" i="7"/>
  <c r="P11" i="7"/>
  <c r="Q11" i="7"/>
  <c r="R11" i="7"/>
  <c r="P12" i="7"/>
  <c r="Q12" i="7"/>
  <c r="R12" i="7"/>
  <c r="P14" i="7"/>
  <c r="Q14" i="7"/>
  <c r="R14" i="7"/>
  <c r="P15" i="7"/>
  <c r="Q15" i="7"/>
  <c r="R15" i="7"/>
  <c r="P16" i="7"/>
  <c r="Q16" i="7"/>
  <c r="R16" i="7"/>
  <c r="P17" i="7"/>
  <c r="Q17" i="7"/>
  <c r="R17" i="7"/>
  <c r="P18" i="7"/>
  <c r="Q18" i="7"/>
  <c r="R18" i="7"/>
  <c r="P20" i="7"/>
  <c r="Q20" i="7"/>
  <c r="R20" i="7"/>
  <c r="P21" i="7"/>
  <c r="Q21" i="7"/>
  <c r="R21" i="7"/>
  <c r="P22" i="7"/>
  <c r="Q22" i="7"/>
  <c r="R22" i="7"/>
  <c r="P23" i="7"/>
  <c r="Q23" i="7"/>
  <c r="R23" i="7"/>
  <c r="P24" i="7"/>
  <c r="Q24" i="7"/>
  <c r="R24" i="7"/>
  <c r="R8" i="7"/>
  <c r="Q8" i="7"/>
  <c r="P8" i="7"/>
  <c r="P3" i="7"/>
  <c r="Q3" i="7"/>
  <c r="R3" i="7"/>
  <c r="P5" i="7"/>
  <c r="Q5" i="7"/>
  <c r="R5" i="7"/>
  <c r="P6" i="7"/>
  <c r="Q6" i="7"/>
  <c r="R6" i="7"/>
  <c r="R2" i="7"/>
  <c r="Q2" i="7"/>
  <c r="P2" i="7"/>
  <c r="D14" i="5"/>
  <c r="D9" i="5"/>
  <c r="F18" i="5"/>
  <c r="F13" i="5"/>
  <c r="F3" i="5"/>
  <c r="D19" i="5"/>
  <c r="D4" i="5"/>
  <c r="F8" i="5"/>
  <c r="F20" i="5"/>
  <c r="F15" i="5"/>
  <c r="F10" i="5"/>
  <c r="F5" i="5"/>
  <c r="F17" i="5"/>
  <c r="F12" i="5"/>
  <c r="F7" i="5"/>
  <c r="F2" i="5"/>
  <c r="F4" i="4"/>
  <c r="F5" i="4"/>
  <c r="F3" i="4"/>
  <c r="G15" i="3"/>
  <c r="G14" i="3"/>
  <c r="G13" i="3"/>
  <c r="G11" i="3"/>
  <c r="G10" i="3"/>
  <c r="G8" i="3"/>
  <c r="G7" i="3"/>
  <c r="G5" i="3"/>
  <c r="F7" i="1" l="1"/>
  <c r="F5" i="1"/>
  <c r="F3" i="1"/>
  <c r="D2" i="1" l="1"/>
  <c r="F2" i="1" s="1"/>
</calcChain>
</file>

<file path=xl/sharedStrings.xml><?xml version="1.0" encoding="utf-8"?>
<sst xmlns="http://schemas.openxmlformats.org/spreadsheetml/2006/main" count="366" uniqueCount="143">
  <si>
    <t>data</t>
  </si>
  <si>
    <t>c101</t>
  </si>
  <si>
    <t>cap</t>
  </si>
  <si>
    <t>obj</t>
  </si>
  <si>
    <t>model</t>
  </si>
  <si>
    <t>continuous</t>
  </si>
  <si>
    <t>heuristic 1</t>
  </si>
  <si>
    <t>bound</t>
  </si>
  <si>
    <t>NA</t>
  </si>
  <si>
    <t>heuristic</t>
  </si>
  <si>
    <t>nurse</t>
  </si>
  <si>
    <t>modify_max_hour_reserve_future_days</t>
  </si>
  <si>
    <t>reserve-1</t>
  </si>
  <si>
    <t>work units</t>
  </si>
  <si>
    <t>10000+</t>
  </si>
  <si>
    <t>modify_max_hour_remaining_weights</t>
  </si>
  <si>
    <t>multiplier = 25</t>
  </si>
  <si>
    <t>multiplier = 20</t>
  </si>
  <si>
    <t>multiplier = 15</t>
  </si>
  <si>
    <t>modify_max_hour_by_nurse</t>
  </si>
  <si>
    <t>not found</t>
  </si>
  <si>
    <t>scale = 5</t>
  </si>
  <si>
    <t>scale = 10</t>
  </si>
  <si>
    <t>scale = 50</t>
  </si>
  <si>
    <t>scale = 40</t>
  </si>
  <si>
    <t>scale = 30</t>
  </si>
  <si>
    <t>scale = 20, k=3</t>
  </si>
  <si>
    <t>scale = 10, k=3</t>
  </si>
  <si>
    <t>scale = 5, k=3</t>
  </si>
  <si>
    <t>scale = 20, k=4</t>
  </si>
  <si>
    <t>scale = 20, k=5</t>
  </si>
  <si>
    <t>scale = 5, k=1</t>
  </si>
  <si>
    <t>scale = 10, k=2x</t>
  </si>
  <si>
    <t>scale = 10, k=3x</t>
  </si>
  <si>
    <t>scale = 10, k=4x</t>
  </si>
  <si>
    <t>reverse (correct sign)</t>
  </si>
  <si>
    <t>cap ratio at 1</t>
  </si>
  <si>
    <t>scale = 20</t>
  </si>
  <si>
    <t>scale = 5, k = 4</t>
  </si>
  <si>
    <t>scale = 5, k = 1</t>
  </si>
  <si>
    <t>ratio</t>
  </si>
  <si>
    <t>sacle = 5, k=3</t>
  </si>
  <si>
    <t>not norm_ratio</t>
  </si>
  <si>
    <t>cap ratio at 1.2</t>
  </si>
  <si>
    <t>cap ratio at 1.5</t>
  </si>
  <si>
    <t>20971s</t>
  </si>
  <si>
    <t>69210.24 seconds (100032.88 work units)</t>
  </si>
  <si>
    <t>5000+</t>
  </si>
  <si>
    <t>Continuous vs Random LNS</t>
  </si>
  <si>
    <t>work limit</t>
  </si>
  <si>
    <t>50+50*1</t>
  </si>
  <si>
    <t>best bound</t>
  </si>
  <si>
    <t>LNS (0.5)</t>
  </si>
  <si>
    <t>gap</t>
  </si>
  <si>
    <t>c201</t>
  </si>
  <si>
    <t>50+50*5</t>
  </si>
  <si>
    <t>r101</t>
  </si>
  <si>
    <t>rc101</t>
  </si>
  <si>
    <t>50+50*2</t>
  </si>
  <si>
    <t>50+50*3</t>
  </si>
  <si>
    <t>50+50*19</t>
  </si>
  <si>
    <t>best obj</t>
  </si>
  <si>
    <t>greedy</t>
  </si>
  <si>
    <t>best gap</t>
  </si>
  <si>
    <t>48h</t>
  </si>
  <si>
    <t xml:space="preserve">continuous </t>
  </si>
  <si>
    <t>solved to optimal</t>
  </si>
  <si>
    <t>48h (41610)</t>
  </si>
  <si>
    <t>even</t>
  </si>
  <si>
    <t>random1</t>
  </si>
  <si>
    <t>random2</t>
  </si>
  <si>
    <t>work_limit</t>
  </si>
  <si>
    <t>clutered (c101)</t>
  </si>
  <si>
    <t>random (r101)</t>
  </si>
  <si>
    <t>larger clusters (c201)</t>
  </si>
  <si>
    <t>mixed (rc101)</t>
  </si>
  <si>
    <t>StronglySkewed</t>
  </si>
  <si>
    <t>SomewhatSkewed</t>
  </si>
  <si>
    <t>greedy-obj</t>
  </si>
  <si>
    <t>full-obj</t>
  </si>
  <si>
    <t>demand</t>
  </si>
  <si>
    <t>orig-obj</t>
  </si>
  <si>
    <t>timelimit = 1000</t>
  </si>
  <si>
    <t>full</t>
  </si>
  <si>
    <t>greedy-reserve</t>
  </si>
  <si>
    <t>Threads = 32</t>
  </si>
  <si>
    <t>gap-full</t>
  </si>
  <si>
    <t>gap-reserve</t>
  </si>
  <si>
    <t>gap-orig-heur</t>
  </si>
  <si>
    <t>greedy-orig-heur</t>
  </si>
  <si>
    <t>greedy-orig-min</t>
  </si>
  <si>
    <t>greedy-rsv-min</t>
  </si>
  <si>
    <t>no depot</t>
  </si>
  <si>
    <t>clustered (c101)</t>
  </si>
  <si>
    <t>no-depot</t>
  </si>
  <si>
    <t>no-depot-gap</t>
  </si>
  <si>
    <t>depot_cost</t>
  </si>
  <si>
    <t>48hr</t>
  </si>
  <si>
    <t>x1000</t>
  </si>
  <si>
    <t>x100</t>
  </si>
  <si>
    <t>x50</t>
  </si>
  <si>
    <t>x10 (initial infeasible)</t>
  </si>
  <si>
    <t>x20 (initial infeasible)</t>
  </si>
  <si>
    <t># RN</t>
  </si>
  <si>
    <t># LVN</t>
  </si>
  <si>
    <t># Events</t>
  </si>
  <si>
    <t>Optimality Gap</t>
  </si>
  <si>
    <t>Time Windows</t>
  </si>
  <si>
    <t>depot_h ^2</t>
  </si>
  <si>
    <t>depot_h ^3</t>
  </si>
  <si>
    <t>heur</t>
  </si>
  <si>
    <t>full-M</t>
  </si>
  <si>
    <t>2171s</t>
  </si>
  <si>
    <t>1290s</t>
  </si>
  <si>
    <t>446s</t>
  </si>
  <si>
    <t>1675s</t>
  </si>
  <si>
    <t>1606s</t>
  </si>
  <si>
    <t>2127s</t>
  </si>
  <si>
    <t>3556s</t>
  </si>
  <si>
    <t>Even</t>
  </si>
  <si>
    <t>Random1</t>
  </si>
  <si>
    <t>Random2</t>
  </si>
  <si>
    <t>Feasible Solution</t>
  </si>
  <si>
    <t>Scenario</t>
  </si>
  <si>
    <t>Data</t>
  </si>
  <si>
    <t>Without LNS</t>
  </si>
  <si>
    <t>460s</t>
  </si>
  <si>
    <t>2218s</t>
  </si>
  <si>
    <t>Objective Value</t>
  </si>
  <si>
    <t>Bound</t>
  </si>
  <si>
    <t>Gap</t>
  </si>
  <si>
    <t>LNS 1000s (3000 work units)</t>
  </si>
  <si>
    <t>LNS + 2000 work units</t>
  </si>
  <si>
    <t>1639s</t>
  </si>
  <si>
    <t>62268s</t>
  </si>
  <si>
    <t>807s</t>
  </si>
  <si>
    <t>1065s</t>
  </si>
  <si>
    <t>793s</t>
  </si>
  <si>
    <t>1469s</t>
  </si>
  <si>
    <t>1529s</t>
  </si>
  <si>
    <t>1540s</t>
  </si>
  <si>
    <t>2599s</t>
  </si>
  <si>
    <t>8279s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</si>
</sst>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7" x14ac:knownFonts="1">
    <font>
      <sz val="12"/>
      <color theme="1"/>
      <name val="Aptos Narrow"/>
      <family val="2"/>
      <scheme val="minor"/>
    </font>
    <font>
      <b/>
      <sz val="11"/>
      <name val="Calibri"/>
      <family val="2"/>
    </font>
    <font>
      <sz val="12"/>
      <color rgb="FF006100"/>
      <name val="Aptos Narrow"/>
      <family val="2"/>
      <scheme val="minor"/>
    </font>
    <font>
      <sz val="10"/>
      <color rgb="FF000000"/>
      <name val="Helvetica Neue"/>
      <family val="2"/>
    </font>
    <font>
      <sz val="12"/>
      <color rgb="FF0000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FFCC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0" fontId="2" fillId="2" borderId="0" applyNumberFormat="0" applyBorder="0" applyAlignment="0" applyProtection="0"/>
    <xf numFmtId="0" fontId="5" fillId="3" borderId="0" applyNumberFormat="0" applyBorder="0" applyAlignment="0" applyProtection="0"/>
    <xf numFmtId="0" fontId="6" fillId="4" borderId="10" applyNumberFormat="0" applyFont="0" applyAlignment="0" applyProtection="0"/>
  </cellStyleXfs>
  <cellXfs count="26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0" xfId="0" applyFont="1"/>
    <xf numFmtId="0" fontId="1" fillId="0" borderId="0" xfId="0" applyFont="1" applyAlignment="1">
      <alignment horizontal="center" vertical="top"/>
    </xf>
    <xf numFmtId="0" fontId="2" fillId="2" borderId="0" xfId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8" xfId="0" applyBorder="1"/>
    <xf numFmtId="0" fontId="0" fillId="0" borderId="9" xfId="0" applyBorder="1"/>
    <xf numFmtId="0" fontId="0" fillId="0" borderId="7" xfId="0" applyBorder="1"/>
    <xf numFmtId="0" fontId="2" fillId="2" borderId="0" xfId="1" applyBorder="1"/>
    <xf numFmtId="0" fontId="0" fillId="0" borderId="2" xfId="0" applyBorder="1"/>
    <xf numFmtId="0" fontId="4" fillId="0" borderId="0" xfId="0" applyFont="1"/>
    <xf numFmtId="0" fontId="5" fillId="3" borderId="0" xfId="2" applyBorder="1"/>
    <xf numFmtId="0" fontId="5" fillId="3" borderId="0" xfId="2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4" borderId="10" xfId="3" applyFont="1"/>
    <xf numFmtId="164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4">
    <cellStyle name="Bad" xfId="2" builtinId="27"/>
    <cellStyle name="Good" xfId="1" builtinId="26"/>
    <cellStyle name="Normal" xfId="0" builtinId="0"/>
    <cellStyle name="Note" xfId="3" builtinId="1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BF1054-2560-7449-ABE7-211CBBE65550}">
  <dimension ref="A1:J49"/>
  <sheetViews>
    <sheetView zoomScale="143" workbookViewId="0">
      <selection activeCell="D11" sqref="D11"/>
    </sheetView>
  </sheetViews>
  <sheetFormatPr baseColWidth="10" defaultRowHeight="16" x14ac:dyDescent="0.2"/>
  <cols>
    <col min="3" max="3" width="32.83203125" bestFit="1" customWidth="1"/>
    <col min="7" max="7" width="12.83203125" bestFit="1" customWidth="1"/>
    <col min="8" max="8" width="14.6640625" bestFit="1" customWidth="1"/>
    <col min="9" max="9" width="15.6640625" customWidth="1"/>
  </cols>
  <sheetData>
    <row r="1" spans="1:9" x14ac:dyDescent="0.2">
      <c r="A1" t="s">
        <v>0</v>
      </c>
      <c r="B1" t="s">
        <v>2</v>
      </c>
      <c r="C1" t="s">
        <v>4</v>
      </c>
      <c r="D1" t="s">
        <v>3</v>
      </c>
      <c r="E1" t="s">
        <v>7</v>
      </c>
      <c r="G1" t="s">
        <v>13</v>
      </c>
    </row>
    <row r="2" spans="1:9" x14ac:dyDescent="0.2">
      <c r="A2" t="s">
        <v>1</v>
      </c>
      <c r="B2">
        <v>25</v>
      </c>
      <c r="C2" t="s">
        <v>6</v>
      </c>
      <c r="D2">
        <f>1895+1422+1871+1374+919</f>
        <v>7481</v>
      </c>
      <c r="E2" t="s">
        <v>8</v>
      </c>
      <c r="F2">
        <f>(D2-E3)/D2</f>
        <v>0.2087956155594172</v>
      </c>
      <c r="G2" t="s">
        <v>14</v>
      </c>
    </row>
    <row r="3" spans="1:9" x14ac:dyDescent="0.2">
      <c r="B3">
        <v>25</v>
      </c>
      <c r="C3" t="s">
        <v>5</v>
      </c>
      <c r="D3">
        <v>7086</v>
      </c>
      <c r="E3">
        <v>5919</v>
      </c>
      <c r="F3">
        <f>(D3-E3)/D3</f>
        <v>0.16469093988145639</v>
      </c>
      <c r="G3" t="s">
        <v>14</v>
      </c>
      <c r="H3" t="s">
        <v>45</v>
      </c>
    </row>
    <row r="4" spans="1:9" x14ac:dyDescent="0.2">
      <c r="C4" t="s">
        <v>5</v>
      </c>
      <c r="D4" s="4">
        <v>7337</v>
      </c>
      <c r="E4" t="s">
        <v>47</v>
      </c>
      <c r="G4">
        <v>1000</v>
      </c>
    </row>
    <row r="5" spans="1:9" x14ac:dyDescent="0.2">
      <c r="D5">
        <v>7063</v>
      </c>
      <c r="E5">
        <v>6497</v>
      </c>
      <c r="F5">
        <f>(D5-E5)/D5</f>
        <v>8.0135919580914622E-2</v>
      </c>
      <c r="G5" t="s">
        <v>46</v>
      </c>
    </row>
    <row r="7" spans="1:9" x14ac:dyDescent="0.2">
      <c r="D7">
        <v>6768</v>
      </c>
      <c r="E7">
        <v>6497</v>
      </c>
      <c r="F7">
        <f>(D7-E7)/D7</f>
        <v>4.0041371158392437E-2</v>
      </c>
    </row>
    <row r="11" spans="1:9" x14ac:dyDescent="0.2">
      <c r="B11">
        <v>25</v>
      </c>
      <c r="C11" t="s">
        <v>6</v>
      </c>
      <c r="D11" s="4">
        <v>7411</v>
      </c>
      <c r="G11">
        <v>1000</v>
      </c>
    </row>
    <row r="12" spans="1:9" x14ac:dyDescent="0.2">
      <c r="B12">
        <v>25</v>
      </c>
      <c r="C12" t="s">
        <v>11</v>
      </c>
      <c r="D12">
        <v>7645</v>
      </c>
      <c r="G12">
        <v>1000</v>
      </c>
    </row>
    <row r="13" spans="1:9" x14ac:dyDescent="0.2">
      <c r="B13">
        <v>25</v>
      </c>
      <c r="C13" t="s">
        <v>15</v>
      </c>
      <c r="D13">
        <v>7878</v>
      </c>
      <c r="G13">
        <v>1000</v>
      </c>
      <c r="H13" t="s">
        <v>16</v>
      </c>
    </row>
    <row r="14" spans="1:9" x14ac:dyDescent="0.2">
      <c r="B14">
        <v>25</v>
      </c>
      <c r="C14" t="s">
        <v>15</v>
      </c>
      <c r="D14">
        <v>7512</v>
      </c>
      <c r="G14">
        <v>1000</v>
      </c>
      <c r="H14" t="s">
        <v>17</v>
      </c>
    </row>
    <row r="15" spans="1:9" x14ac:dyDescent="0.2">
      <c r="B15">
        <v>25</v>
      </c>
      <c r="C15" t="s">
        <v>15</v>
      </c>
      <c r="D15">
        <v>7509</v>
      </c>
      <c r="G15">
        <v>1000</v>
      </c>
      <c r="H15" t="s">
        <v>18</v>
      </c>
    </row>
    <row r="16" spans="1:9" x14ac:dyDescent="0.2">
      <c r="B16">
        <v>25</v>
      </c>
      <c r="C16" s="13" t="s">
        <v>19</v>
      </c>
      <c r="D16" s="5">
        <v>8338</v>
      </c>
      <c r="E16" s="5"/>
      <c r="F16" s="5"/>
      <c r="G16" s="5">
        <v>1000</v>
      </c>
      <c r="H16" s="5" t="s">
        <v>21</v>
      </c>
      <c r="I16" s="6"/>
    </row>
    <row r="17" spans="2:10" x14ac:dyDescent="0.2">
      <c r="B17">
        <v>25</v>
      </c>
      <c r="C17" s="7" t="s">
        <v>19</v>
      </c>
      <c r="D17">
        <v>7676</v>
      </c>
      <c r="G17">
        <v>1000</v>
      </c>
      <c r="H17" t="s">
        <v>21</v>
      </c>
      <c r="I17" s="8" t="s">
        <v>36</v>
      </c>
    </row>
    <row r="18" spans="2:10" x14ac:dyDescent="0.2">
      <c r="B18">
        <v>25</v>
      </c>
      <c r="C18" s="7" t="s">
        <v>19</v>
      </c>
      <c r="D18">
        <v>7536</v>
      </c>
      <c r="G18">
        <v>1000</v>
      </c>
      <c r="H18" t="s">
        <v>28</v>
      </c>
      <c r="I18" s="8" t="s">
        <v>36</v>
      </c>
    </row>
    <row r="19" spans="2:10" x14ac:dyDescent="0.2">
      <c r="B19">
        <v>25</v>
      </c>
      <c r="C19" s="7" t="s">
        <v>19</v>
      </c>
      <c r="D19">
        <v>8126</v>
      </c>
      <c r="G19">
        <v>1000</v>
      </c>
      <c r="H19" t="s">
        <v>41</v>
      </c>
      <c r="I19" s="8" t="s">
        <v>36</v>
      </c>
      <c r="J19" t="s">
        <v>42</v>
      </c>
    </row>
    <row r="20" spans="2:10" x14ac:dyDescent="0.2">
      <c r="B20">
        <v>25</v>
      </c>
      <c r="C20" s="7" t="s">
        <v>19</v>
      </c>
      <c r="D20" s="12">
        <v>7363</v>
      </c>
      <c r="G20">
        <v>1000</v>
      </c>
      <c r="H20" t="s">
        <v>41</v>
      </c>
      <c r="I20" s="8" t="s">
        <v>43</v>
      </c>
    </row>
    <row r="21" spans="2:10" x14ac:dyDescent="0.2">
      <c r="C21" s="11"/>
      <c r="D21" s="9">
        <v>7473</v>
      </c>
      <c r="E21" s="9"/>
      <c r="F21" s="9"/>
      <c r="G21" s="9">
        <v>1000</v>
      </c>
      <c r="H21" s="9" t="s">
        <v>41</v>
      </c>
      <c r="I21" s="10" t="s">
        <v>44</v>
      </c>
    </row>
    <row r="22" spans="2:10" x14ac:dyDescent="0.2">
      <c r="B22">
        <v>25</v>
      </c>
      <c r="C22" t="s">
        <v>19</v>
      </c>
      <c r="D22">
        <v>7739</v>
      </c>
      <c r="G22">
        <v>1000</v>
      </c>
      <c r="H22" t="s">
        <v>22</v>
      </c>
      <c r="I22" t="s">
        <v>36</v>
      </c>
    </row>
    <row r="23" spans="2:10" x14ac:dyDescent="0.2">
      <c r="B23">
        <v>25</v>
      </c>
      <c r="C23" t="s">
        <v>19</v>
      </c>
      <c r="D23">
        <v>8320</v>
      </c>
      <c r="G23">
        <v>1000</v>
      </c>
      <c r="H23" t="s">
        <v>22</v>
      </c>
    </row>
    <row r="24" spans="2:10" x14ac:dyDescent="0.2">
      <c r="B24">
        <v>25</v>
      </c>
      <c r="C24" t="s">
        <v>19</v>
      </c>
      <c r="D24">
        <v>7946</v>
      </c>
      <c r="G24">
        <v>1000</v>
      </c>
      <c r="H24" t="s">
        <v>37</v>
      </c>
      <c r="I24" t="s">
        <v>36</v>
      </c>
    </row>
    <row r="25" spans="2:10" x14ac:dyDescent="0.2">
      <c r="B25">
        <v>25</v>
      </c>
      <c r="C25" t="s">
        <v>19</v>
      </c>
      <c r="D25" t="s">
        <v>20</v>
      </c>
      <c r="G25">
        <v>1000</v>
      </c>
      <c r="H25" t="s">
        <v>23</v>
      </c>
    </row>
    <row r="26" spans="2:10" x14ac:dyDescent="0.2">
      <c r="B26">
        <v>25</v>
      </c>
      <c r="C26" t="s">
        <v>19</v>
      </c>
      <c r="D26" t="s">
        <v>20</v>
      </c>
      <c r="G26">
        <v>1000</v>
      </c>
      <c r="H26" t="s">
        <v>24</v>
      </c>
    </row>
    <row r="27" spans="2:10" x14ac:dyDescent="0.2">
      <c r="B27">
        <v>25</v>
      </c>
      <c r="C27" t="s">
        <v>19</v>
      </c>
      <c r="D27" t="s">
        <v>20</v>
      </c>
      <c r="G27">
        <v>1000</v>
      </c>
      <c r="H27" t="s">
        <v>25</v>
      </c>
    </row>
    <row r="29" spans="2:10" x14ac:dyDescent="0.2">
      <c r="C29" t="s">
        <v>19</v>
      </c>
      <c r="D29">
        <v>7538</v>
      </c>
      <c r="G29">
        <v>1000</v>
      </c>
      <c r="H29" t="s">
        <v>38</v>
      </c>
      <c r="I29" t="s">
        <v>36</v>
      </c>
    </row>
    <row r="30" spans="2:10" x14ac:dyDescent="0.2">
      <c r="C30" t="s">
        <v>19</v>
      </c>
      <c r="D30" s="4">
        <v>7363</v>
      </c>
      <c r="G30">
        <v>1000</v>
      </c>
      <c r="H30" t="s">
        <v>38</v>
      </c>
      <c r="I30" t="s">
        <v>43</v>
      </c>
    </row>
    <row r="31" spans="2:10" x14ac:dyDescent="0.2">
      <c r="D31">
        <v>7362</v>
      </c>
    </row>
    <row r="32" spans="2:10" x14ac:dyDescent="0.2">
      <c r="D32">
        <v>7432</v>
      </c>
      <c r="G32">
        <v>1000</v>
      </c>
      <c r="H32" t="s">
        <v>38</v>
      </c>
      <c r="I32" t="s">
        <v>44</v>
      </c>
    </row>
    <row r="34" spans="2:10" x14ac:dyDescent="0.2">
      <c r="D34">
        <v>7605</v>
      </c>
      <c r="H34" t="s">
        <v>39</v>
      </c>
      <c r="I34" t="s">
        <v>36</v>
      </c>
    </row>
    <row r="35" spans="2:10" x14ac:dyDescent="0.2">
      <c r="D35">
        <v>7894</v>
      </c>
      <c r="H35" t="s">
        <v>27</v>
      </c>
      <c r="I35" t="s">
        <v>36</v>
      </c>
    </row>
    <row r="36" spans="2:10" x14ac:dyDescent="0.2">
      <c r="D36">
        <v>7998</v>
      </c>
      <c r="H36" t="s">
        <v>27</v>
      </c>
      <c r="I36" t="s">
        <v>36</v>
      </c>
      <c r="J36" t="s">
        <v>40</v>
      </c>
    </row>
    <row r="37" spans="2:10" x14ac:dyDescent="0.2">
      <c r="D37">
        <v>8611</v>
      </c>
      <c r="G37">
        <v>1000</v>
      </c>
      <c r="H37" t="s">
        <v>26</v>
      </c>
    </row>
    <row r="38" spans="2:10" x14ac:dyDescent="0.2">
      <c r="C38" t="s">
        <v>19</v>
      </c>
      <c r="D38">
        <v>8491</v>
      </c>
      <c r="G38">
        <v>1000</v>
      </c>
      <c r="H38" t="s">
        <v>26</v>
      </c>
      <c r="I38" t="s">
        <v>36</v>
      </c>
    </row>
    <row r="41" spans="2:10" x14ac:dyDescent="0.2">
      <c r="B41">
        <v>25</v>
      </c>
      <c r="C41" t="s">
        <v>19</v>
      </c>
      <c r="D41">
        <v>8600</v>
      </c>
      <c r="G41">
        <v>1000</v>
      </c>
      <c r="H41" t="s">
        <v>27</v>
      </c>
    </row>
    <row r="42" spans="2:10" x14ac:dyDescent="0.2">
      <c r="C42" t="s">
        <v>19</v>
      </c>
      <c r="D42">
        <v>8726</v>
      </c>
      <c r="G42">
        <v>1000</v>
      </c>
      <c r="H42" t="s">
        <v>28</v>
      </c>
    </row>
    <row r="43" spans="2:10" x14ac:dyDescent="0.2">
      <c r="D43">
        <v>8670</v>
      </c>
      <c r="H43" t="s">
        <v>29</v>
      </c>
    </row>
    <row r="44" spans="2:10" x14ac:dyDescent="0.2">
      <c r="D44">
        <v>8597</v>
      </c>
      <c r="H44" t="s">
        <v>30</v>
      </c>
    </row>
    <row r="45" spans="2:10" x14ac:dyDescent="0.2">
      <c r="D45">
        <v>8712</v>
      </c>
      <c r="H45" t="s">
        <v>31</v>
      </c>
    </row>
    <row r="46" spans="2:10" x14ac:dyDescent="0.2">
      <c r="D46">
        <v>8600</v>
      </c>
      <c r="H46" t="s">
        <v>33</v>
      </c>
    </row>
    <row r="47" spans="2:10" x14ac:dyDescent="0.2">
      <c r="D47">
        <v>8657</v>
      </c>
      <c r="H47" t="s">
        <v>32</v>
      </c>
    </row>
    <row r="48" spans="2:10" x14ac:dyDescent="0.2">
      <c r="D48">
        <v>8657</v>
      </c>
      <c r="H48" t="s">
        <v>34</v>
      </c>
    </row>
    <row r="49" spans="4:9" x14ac:dyDescent="0.2">
      <c r="D49">
        <v>8727</v>
      </c>
      <c r="H49" t="s">
        <v>34</v>
      </c>
      <c r="I49" t="s">
        <v>35</v>
      </c>
    </row>
  </sheetData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88C219-9099-8244-95DF-B199D4919996}">
  <dimension ref="A1:E16"/>
  <sheetViews>
    <sheetView zoomScale="143" workbookViewId="0">
      <selection activeCell="E13" sqref="E13"/>
    </sheetView>
  </sheetViews>
  <sheetFormatPr baseColWidth="10" defaultRowHeight="16" x14ac:dyDescent="0.2"/>
  <cols>
    <col min="1" max="1" width="5" bestFit="1" customWidth="1"/>
    <col min="4" max="4" width="12.6640625" bestFit="1" customWidth="1"/>
    <col min="5" max="5" width="13.33203125" bestFit="1" customWidth="1"/>
  </cols>
  <sheetData>
    <row r="1" spans="1:5" x14ac:dyDescent="0.2">
      <c r="A1" t="s">
        <v>103</v>
      </c>
      <c r="B1" t="s">
        <v>104</v>
      </c>
      <c r="C1" t="s">
        <v>105</v>
      </c>
      <c r="D1" t="s">
        <v>107</v>
      </c>
      <c r="E1" t="s">
        <v>106</v>
      </c>
    </row>
    <row r="2" spans="1:5" x14ac:dyDescent="0.2">
      <c r="A2" s="24">
        <v>5</v>
      </c>
      <c r="B2" s="24">
        <v>7</v>
      </c>
      <c r="C2" s="24">
        <v>12</v>
      </c>
      <c r="D2" s="23">
        <v>1</v>
      </c>
      <c r="E2">
        <v>0</v>
      </c>
    </row>
    <row r="3" spans="1:5" x14ac:dyDescent="0.2">
      <c r="A3" s="24"/>
      <c r="B3" s="24"/>
      <c r="C3" s="24"/>
      <c r="D3" s="23">
        <v>2</v>
      </c>
      <c r="E3" s="21">
        <v>4.1021671826625299E-2</v>
      </c>
    </row>
    <row r="4" spans="1:5" x14ac:dyDescent="0.2">
      <c r="A4" s="24"/>
      <c r="B4" s="24"/>
      <c r="C4" s="24"/>
      <c r="D4" s="23">
        <v>3</v>
      </c>
      <c r="E4" s="21">
        <v>0.157979149959903</v>
      </c>
    </row>
    <row r="5" spans="1:5" x14ac:dyDescent="0.2">
      <c r="A5" s="24">
        <v>10</v>
      </c>
      <c r="B5" s="24">
        <v>14</v>
      </c>
      <c r="C5" s="24">
        <v>24</v>
      </c>
      <c r="D5" s="23">
        <v>1</v>
      </c>
      <c r="E5" s="21">
        <v>0.132435180477885</v>
      </c>
    </row>
    <row r="6" spans="1:5" x14ac:dyDescent="0.2">
      <c r="A6" s="24"/>
      <c r="B6" s="24"/>
      <c r="C6" s="24"/>
      <c r="D6" s="23">
        <v>2</v>
      </c>
      <c r="E6" s="21">
        <v>0.32956152758132901</v>
      </c>
    </row>
    <row r="7" spans="1:5" x14ac:dyDescent="0.2">
      <c r="A7" s="24"/>
      <c r="B7" s="24"/>
      <c r="C7" s="24"/>
      <c r="D7" s="23">
        <v>3</v>
      </c>
      <c r="E7" s="21">
        <v>0.44712673838887401</v>
      </c>
    </row>
    <row r="8" spans="1:5" x14ac:dyDescent="0.2">
      <c r="A8" s="24">
        <v>15</v>
      </c>
      <c r="B8" s="24">
        <v>21</v>
      </c>
      <c r="C8" s="24">
        <v>36</v>
      </c>
      <c r="D8" s="23">
        <v>1</v>
      </c>
      <c r="E8" s="21">
        <v>0.22319517415839599</v>
      </c>
    </row>
    <row r="9" spans="1:5" x14ac:dyDescent="0.2">
      <c r="A9" s="24"/>
      <c r="B9" s="24"/>
      <c r="C9" s="24"/>
      <c r="D9" s="23">
        <v>2</v>
      </c>
      <c r="E9" s="14" t="s">
        <v>20</v>
      </c>
    </row>
    <row r="10" spans="1:5" x14ac:dyDescent="0.2">
      <c r="A10" s="24"/>
      <c r="B10" s="24"/>
      <c r="C10" s="24"/>
      <c r="D10" s="23">
        <v>3</v>
      </c>
      <c r="E10" s="14" t="s">
        <v>20</v>
      </c>
    </row>
    <row r="11" spans="1:5" x14ac:dyDescent="0.2">
      <c r="A11" s="24">
        <v>20</v>
      </c>
      <c r="B11" s="24">
        <v>28</v>
      </c>
      <c r="C11" s="24">
        <v>48</v>
      </c>
      <c r="D11" s="23">
        <v>1</v>
      </c>
      <c r="E11" s="14" t="s">
        <v>20</v>
      </c>
    </row>
    <row r="12" spans="1:5" x14ac:dyDescent="0.2">
      <c r="A12" s="24"/>
      <c r="B12" s="24"/>
      <c r="C12" s="24"/>
      <c r="D12" s="23">
        <v>2</v>
      </c>
      <c r="E12" t="s">
        <v>20</v>
      </c>
    </row>
    <row r="13" spans="1:5" x14ac:dyDescent="0.2">
      <c r="A13" s="24"/>
      <c r="B13" s="24"/>
      <c r="C13" s="24"/>
      <c r="D13" s="23">
        <v>3</v>
      </c>
      <c r="E13" s="21">
        <v>0.46966051857792002</v>
      </c>
    </row>
    <row r="14" spans="1:5" x14ac:dyDescent="0.2">
      <c r="A14" s="24">
        <v>25</v>
      </c>
      <c r="B14" s="24">
        <v>35</v>
      </c>
      <c r="C14" s="24">
        <v>60</v>
      </c>
      <c r="D14" s="23">
        <v>1</v>
      </c>
      <c r="E14" s="21">
        <v>0.311120498468687</v>
      </c>
    </row>
    <row r="15" spans="1:5" x14ac:dyDescent="0.2">
      <c r="A15" s="24"/>
      <c r="B15" s="24"/>
      <c r="C15" s="24"/>
      <c r="D15" s="23">
        <v>2</v>
      </c>
      <c r="E15" t="s">
        <v>20</v>
      </c>
    </row>
    <row r="16" spans="1:5" x14ac:dyDescent="0.2">
      <c r="A16" s="24"/>
      <c r="B16" s="24"/>
      <c r="C16" s="24"/>
      <c r="D16" s="23">
        <v>3</v>
      </c>
      <c r="E16" t="s">
        <v>20</v>
      </c>
    </row>
  </sheetData>
  <mergeCells count="15">
    <mergeCell ref="A2:A4"/>
    <mergeCell ref="B2:B4"/>
    <mergeCell ref="C2:C4"/>
    <mergeCell ref="A5:A7"/>
    <mergeCell ref="B5:B7"/>
    <mergeCell ref="C5:C7"/>
    <mergeCell ref="A14:A16"/>
    <mergeCell ref="B14:B16"/>
    <mergeCell ref="C14:C16"/>
    <mergeCell ref="A8:A10"/>
    <mergeCell ref="B8:B10"/>
    <mergeCell ref="C8:C10"/>
    <mergeCell ref="A11:A13"/>
    <mergeCell ref="B11:B13"/>
    <mergeCell ref="C11:C1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4E982C-7790-D64A-ABAA-2C9135EE57E9}">
  <dimension ref="A1:BF51"/>
  <sheetViews>
    <sheetView zoomScale="123" workbookViewId="0">
      <selection activeCell="C12" sqref="C12"/>
    </sheetView>
  </sheetViews>
  <sheetFormatPr baseColWidth="10" defaultRowHeight="16" x14ac:dyDescent="0.2"/>
  <sheetData>
    <row r="1" spans="1:58" x14ac:dyDescent="0.2">
      <c r="A1" s="1" t="s">
        <v>10</v>
      </c>
      <c r="B1" s="1" t="s">
        <v>5</v>
      </c>
      <c r="C1" s="1" t="s">
        <v>9</v>
      </c>
      <c r="D1" s="3" t="s">
        <v>5</v>
      </c>
      <c r="E1" s="3" t="s">
        <v>9</v>
      </c>
      <c r="F1" s="3" t="s">
        <v>12</v>
      </c>
      <c r="G1" s="3"/>
      <c r="H1" s="3"/>
    </row>
    <row r="2" spans="1:58" x14ac:dyDescent="0.2">
      <c r="A2" s="1">
        <v>0</v>
      </c>
      <c r="B2">
        <v>22.5</v>
      </c>
      <c r="C2">
        <v>19.5</v>
      </c>
      <c r="D2" s="2">
        <v>5</v>
      </c>
      <c r="E2" s="2">
        <v>4</v>
      </c>
      <c r="F2" s="2">
        <v>6</v>
      </c>
      <c r="G2" s="2"/>
      <c r="H2" s="2"/>
      <c r="I2" s="2">
        <v>3</v>
      </c>
      <c r="J2" s="2">
        <v>7</v>
      </c>
      <c r="K2" s="2">
        <v>12</v>
      </c>
      <c r="L2" s="2">
        <v>17</v>
      </c>
      <c r="M2" s="2">
        <v>24</v>
      </c>
      <c r="N2" s="2">
        <v>34</v>
      </c>
      <c r="O2" s="2">
        <v>44</v>
      </c>
      <c r="P2" s="2">
        <v>58</v>
      </c>
      <c r="Q2" s="2">
        <v>78</v>
      </c>
      <c r="R2" s="2">
        <v>98</v>
      </c>
      <c r="S2" s="2">
        <v>119</v>
      </c>
      <c r="T2" s="2">
        <v>140</v>
      </c>
      <c r="U2" s="2">
        <v>163</v>
      </c>
      <c r="V2" s="2">
        <v>186</v>
      </c>
      <c r="W2" s="2">
        <v>209</v>
      </c>
      <c r="X2" s="2">
        <v>233</v>
      </c>
      <c r="Y2" s="2">
        <v>259</v>
      </c>
      <c r="Z2" s="2">
        <v>285</v>
      </c>
      <c r="AA2" s="2">
        <v>311</v>
      </c>
      <c r="AB2" s="2">
        <v>338</v>
      </c>
      <c r="AC2" s="2">
        <v>366</v>
      </c>
      <c r="AD2" s="2">
        <v>394</v>
      </c>
      <c r="AE2" s="2">
        <v>423</v>
      </c>
      <c r="AF2" s="2">
        <v>453</v>
      </c>
      <c r="AG2" s="2">
        <v>483</v>
      </c>
      <c r="AH2" s="2">
        <v>515</v>
      </c>
      <c r="AI2" s="2">
        <v>548</v>
      </c>
      <c r="AJ2" s="2">
        <v>583</v>
      </c>
      <c r="AK2" s="2">
        <v>620</v>
      </c>
      <c r="AL2" s="2">
        <v>657</v>
      </c>
      <c r="AM2" s="2">
        <v>695</v>
      </c>
      <c r="AN2" s="2">
        <v>733</v>
      </c>
      <c r="AO2" s="2">
        <v>771</v>
      </c>
      <c r="AP2" s="2">
        <v>810</v>
      </c>
      <c r="AQ2" s="2">
        <v>849</v>
      </c>
      <c r="AR2" s="2">
        <v>889</v>
      </c>
      <c r="AS2" s="2">
        <v>929</v>
      </c>
      <c r="AT2" s="2">
        <v>970</v>
      </c>
      <c r="AU2" s="2">
        <v>1012</v>
      </c>
      <c r="AV2" s="2">
        <v>1055</v>
      </c>
      <c r="AW2" s="2">
        <v>1099</v>
      </c>
      <c r="AX2" s="2">
        <v>1145</v>
      </c>
      <c r="AY2" s="2">
        <v>1193</v>
      </c>
      <c r="AZ2" s="2">
        <v>1243</v>
      </c>
      <c r="BA2" s="2">
        <v>1296</v>
      </c>
      <c r="BB2" s="2">
        <v>1349</v>
      </c>
      <c r="BC2" s="2">
        <v>1402</v>
      </c>
      <c r="BD2" s="2">
        <v>1456</v>
      </c>
      <c r="BE2" s="2">
        <v>1514</v>
      </c>
      <c r="BF2" s="2">
        <v>1577</v>
      </c>
    </row>
    <row r="3" spans="1:58" x14ac:dyDescent="0.2">
      <c r="A3" s="1">
        <v>1</v>
      </c>
      <c r="B3">
        <v>22.5</v>
      </c>
      <c r="C3">
        <v>21.5</v>
      </c>
      <c r="D3" s="2">
        <v>6</v>
      </c>
      <c r="E3" s="2">
        <v>5</v>
      </c>
      <c r="F3" s="2">
        <v>5</v>
      </c>
      <c r="G3" s="2"/>
      <c r="H3" s="2"/>
      <c r="I3" s="2">
        <v>3</v>
      </c>
      <c r="J3" s="2">
        <v>8</v>
      </c>
      <c r="K3" s="2">
        <v>13</v>
      </c>
      <c r="L3" s="2">
        <v>19</v>
      </c>
      <c r="M3" s="2">
        <v>26</v>
      </c>
      <c r="N3" s="2">
        <v>36</v>
      </c>
      <c r="O3" s="2">
        <v>46</v>
      </c>
      <c r="P3" s="2">
        <v>59</v>
      </c>
      <c r="Q3" s="2">
        <v>78</v>
      </c>
      <c r="R3" s="2">
        <v>99</v>
      </c>
      <c r="S3" s="2">
        <v>121</v>
      </c>
      <c r="T3" s="2">
        <v>143</v>
      </c>
      <c r="U3" s="2">
        <v>168</v>
      </c>
      <c r="V3" s="2">
        <v>193</v>
      </c>
      <c r="W3" s="2">
        <v>218</v>
      </c>
      <c r="X3" s="2">
        <v>243</v>
      </c>
      <c r="Y3" s="2">
        <v>268</v>
      </c>
      <c r="Z3" s="2">
        <v>295</v>
      </c>
      <c r="AA3" s="2">
        <v>322</v>
      </c>
      <c r="AB3" s="2">
        <v>350</v>
      </c>
      <c r="AC3" s="2">
        <v>378</v>
      </c>
      <c r="AD3" s="2">
        <v>407</v>
      </c>
      <c r="AE3" s="2">
        <v>437</v>
      </c>
      <c r="AF3" s="2">
        <v>467</v>
      </c>
      <c r="AG3" s="2">
        <v>498</v>
      </c>
      <c r="AH3" s="2">
        <v>530</v>
      </c>
      <c r="AI3" s="2">
        <v>565</v>
      </c>
      <c r="AJ3" s="2">
        <v>602</v>
      </c>
      <c r="AK3" s="2">
        <v>641</v>
      </c>
      <c r="AL3" s="2">
        <v>680</v>
      </c>
      <c r="AM3" s="2">
        <v>720</v>
      </c>
      <c r="AN3" s="2">
        <v>760</v>
      </c>
      <c r="AO3" s="2">
        <v>800</v>
      </c>
      <c r="AP3" s="2">
        <v>840</v>
      </c>
      <c r="AQ3" s="2">
        <v>881</v>
      </c>
      <c r="AR3" s="2">
        <v>923</v>
      </c>
      <c r="AS3" s="2">
        <v>965</v>
      </c>
      <c r="AT3" s="2">
        <v>1008</v>
      </c>
      <c r="AU3" s="2">
        <v>1052</v>
      </c>
      <c r="AV3" s="2">
        <v>1096</v>
      </c>
      <c r="AW3" s="2">
        <v>1142</v>
      </c>
      <c r="AX3" s="2">
        <v>1189</v>
      </c>
      <c r="AY3" s="2">
        <v>1238</v>
      </c>
      <c r="AZ3" s="2">
        <v>1289</v>
      </c>
      <c r="BA3" s="2">
        <v>1344</v>
      </c>
      <c r="BB3" s="2">
        <v>1399</v>
      </c>
      <c r="BC3" s="2">
        <v>1454</v>
      </c>
      <c r="BD3" s="2">
        <v>1509</v>
      </c>
      <c r="BE3" s="2">
        <v>1569</v>
      </c>
      <c r="BF3" s="2">
        <v>1634</v>
      </c>
    </row>
    <row r="4" spans="1:58" x14ac:dyDescent="0.2">
      <c r="A4" s="1">
        <v>2</v>
      </c>
      <c r="B4">
        <v>25</v>
      </c>
      <c r="C4">
        <v>24.5</v>
      </c>
      <c r="D4" s="2">
        <v>6</v>
      </c>
      <c r="E4" s="2">
        <v>6</v>
      </c>
      <c r="F4" s="2">
        <v>5</v>
      </c>
      <c r="G4" s="2"/>
      <c r="H4" s="2"/>
      <c r="I4" s="2">
        <v>1</v>
      </c>
      <c r="J4" s="2">
        <v>3</v>
      </c>
      <c r="K4" s="2">
        <v>5</v>
      </c>
      <c r="L4" s="2">
        <v>8</v>
      </c>
      <c r="M4" s="2">
        <v>13</v>
      </c>
      <c r="N4" s="2">
        <v>20</v>
      </c>
      <c r="O4" s="2">
        <v>27</v>
      </c>
      <c r="P4" s="2">
        <v>44</v>
      </c>
      <c r="Q4" s="2">
        <v>62</v>
      </c>
      <c r="R4" s="2">
        <v>82</v>
      </c>
      <c r="S4" s="2">
        <v>102</v>
      </c>
      <c r="T4" s="2">
        <v>124</v>
      </c>
      <c r="U4" s="2">
        <v>147</v>
      </c>
      <c r="V4" s="2">
        <v>170</v>
      </c>
      <c r="W4" s="2">
        <v>193</v>
      </c>
      <c r="X4" s="2">
        <v>217</v>
      </c>
      <c r="Y4" s="2">
        <v>242</v>
      </c>
      <c r="Z4" s="2">
        <v>267</v>
      </c>
      <c r="AA4" s="2">
        <v>293</v>
      </c>
      <c r="AB4" s="2">
        <v>319</v>
      </c>
      <c r="AC4" s="2">
        <v>346</v>
      </c>
      <c r="AD4" s="2">
        <v>373</v>
      </c>
      <c r="AE4" s="2">
        <v>402</v>
      </c>
      <c r="AF4" s="2">
        <v>431</v>
      </c>
      <c r="AG4" s="2">
        <v>461</v>
      </c>
      <c r="AH4" s="2">
        <v>492</v>
      </c>
      <c r="AI4" s="2">
        <v>524</v>
      </c>
      <c r="AJ4" s="2">
        <v>556</v>
      </c>
      <c r="AK4" s="2">
        <v>590</v>
      </c>
      <c r="AL4" s="2">
        <v>625</v>
      </c>
      <c r="AM4" s="2">
        <v>660</v>
      </c>
      <c r="AN4" s="2">
        <v>696</v>
      </c>
      <c r="AO4" s="2">
        <v>732</v>
      </c>
      <c r="AP4" s="2">
        <v>768</v>
      </c>
      <c r="AQ4" s="2">
        <v>805</v>
      </c>
      <c r="AR4" s="2">
        <v>842</v>
      </c>
      <c r="AS4" s="2">
        <v>879</v>
      </c>
      <c r="AT4" s="2">
        <v>917</v>
      </c>
      <c r="AU4" s="2">
        <v>956</v>
      </c>
      <c r="AV4" s="2">
        <v>995</v>
      </c>
      <c r="AW4" s="2">
        <v>1036</v>
      </c>
      <c r="AX4" s="2">
        <v>1078</v>
      </c>
      <c r="AY4" s="2">
        <v>1122</v>
      </c>
      <c r="AZ4" s="2">
        <v>1168</v>
      </c>
      <c r="BA4" s="2">
        <v>1219</v>
      </c>
      <c r="BB4" s="2">
        <v>1270</v>
      </c>
      <c r="BC4" s="2">
        <v>1321</v>
      </c>
      <c r="BD4" s="2">
        <v>1376</v>
      </c>
      <c r="BE4" s="2">
        <v>1432</v>
      </c>
      <c r="BF4" s="2">
        <v>1493</v>
      </c>
    </row>
    <row r="5" spans="1:58" x14ac:dyDescent="0.2">
      <c r="A5" s="1">
        <v>3</v>
      </c>
      <c r="B5">
        <v>25</v>
      </c>
      <c r="C5">
        <v>23</v>
      </c>
      <c r="D5" s="2">
        <v>5</v>
      </c>
      <c r="E5" s="2">
        <v>6</v>
      </c>
      <c r="F5" s="2">
        <v>6</v>
      </c>
      <c r="G5" s="2"/>
      <c r="H5" s="2"/>
      <c r="I5" s="2">
        <v>2</v>
      </c>
      <c r="J5" s="2">
        <v>4</v>
      </c>
      <c r="K5" s="2">
        <v>6</v>
      </c>
      <c r="L5" s="2">
        <v>9</v>
      </c>
      <c r="M5" s="2">
        <v>12</v>
      </c>
      <c r="N5" s="2">
        <v>16</v>
      </c>
      <c r="O5" s="2">
        <v>21</v>
      </c>
      <c r="P5" s="2">
        <v>37</v>
      </c>
      <c r="Q5" s="2">
        <v>55</v>
      </c>
      <c r="R5" s="2">
        <v>74</v>
      </c>
      <c r="S5" s="2">
        <v>95</v>
      </c>
      <c r="T5" s="2">
        <v>116</v>
      </c>
      <c r="U5" s="2">
        <v>137</v>
      </c>
      <c r="V5" s="2">
        <v>159</v>
      </c>
      <c r="W5" s="2">
        <v>182</v>
      </c>
      <c r="X5" s="2">
        <v>206</v>
      </c>
      <c r="Y5" s="2">
        <v>231</v>
      </c>
      <c r="Z5" s="2">
        <v>256</v>
      </c>
      <c r="AA5" s="2">
        <v>282</v>
      </c>
      <c r="AB5" s="2">
        <v>308</v>
      </c>
      <c r="AC5" s="2">
        <v>336</v>
      </c>
      <c r="AD5" s="2">
        <v>365</v>
      </c>
      <c r="AE5" s="2">
        <v>394</v>
      </c>
      <c r="AF5" s="2">
        <v>425</v>
      </c>
      <c r="AG5" s="2">
        <v>458</v>
      </c>
      <c r="AH5" s="2">
        <v>491</v>
      </c>
      <c r="AI5" s="2">
        <v>526</v>
      </c>
      <c r="AJ5" s="2">
        <v>562</v>
      </c>
      <c r="AK5" s="2">
        <v>598</v>
      </c>
      <c r="AL5" s="2">
        <v>634</v>
      </c>
      <c r="AM5" s="2">
        <v>670</v>
      </c>
      <c r="AN5" s="2">
        <v>706</v>
      </c>
      <c r="AO5" s="2">
        <v>743</v>
      </c>
      <c r="AP5" s="2">
        <v>780</v>
      </c>
      <c r="AQ5" s="2">
        <v>818</v>
      </c>
      <c r="AR5" s="2">
        <v>856</v>
      </c>
      <c r="AS5" s="2">
        <v>895</v>
      </c>
      <c r="AT5" s="2">
        <v>934</v>
      </c>
      <c r="AU5" s="2">
        <v>973</v>
      </c>
      <c r="AV5" s="2">
        <v>1013</v>
      </c>
      <c r="AW5" s="2">
        <v>1053</v>
      </c>
      <c r="AX5" s="2">
        <v>1093</v>
      </c>
      <c r="AY5" s="2">
        <v>1136</v>
      </c>
      <c r="AZ5" s="2">
        <v>1180</v>
      </c>
      <c r="BA5" s="2">
        <v>1233</v>
      </c>
      <c r="BB5" s="2">
        <v>1286</v>
      </c>
      <c r="BC5" s="2">
        <v>1339</v>
      </c>
      <c r="BD5" s="2">
        <v>1397</v>
      </c>
      <c r="BE5" s="2">
        <v>1456</v>
      </c>
      <c r="BF5" s="2">
        <v>1519</v>
      </c>
    </row>
    <row r="6" spans="1:58" x14ac:dyDescent="0.2">
      <c r="A6" s="1">
        <v>4</v>
      </c>
      <c r="B6">
        <v>8</v>
      </c>
      <c r="C6">
        <v>16.5</v>
      </c>
      <c r="D6" s="2">
        <v>2</v>
      </c>
      <c r="E6" s="2">
        <v>4</v>
      </c>
      <c r="F6" s="2">
        <v>4</v>
      </c>
      <c r="G6" s="2"/>
      <c r="H6" s="2"/>
      <c r="I6" s="2">
        <v>8</v>
      </c>
      <c r="J6" s="2">
        <v>18</v>
      </c>
      <c r="K6" s="2">
        <v>28</v>
      </c>
      <c r="L6" s="2">
        <v>38</v>
      </c>
      <c r="M6" s="2">
        <v>52</v>
      </c>
      <c r="N6" s="2">
        <v>67</v>
      </c>
      <c r="O6" s="2">
        <v>83</v>
      </c>
      <c r="P6" s="2">
        <v>101</v>
      </c>
      <c r="Q6" s="2">
        <v>121</v>
      </c>
      <c r="R6" s="2">
        <v>141</v>
      </c>
      <c r="S6" s="2">
        <v>161</v>
      </c>
      <c r="T6" s="2">
        <v>182</v>
      </c>
      <c r="U6" s="2">
        <v>204</v>
      </c>
      <c r="V6" s="2">
        <v>227</v>
      </c>
      <c r="W6" s="2">
        <v>252</v>
      </c>
      <c r="X6" s="2">
        <v>277</v>
      </c>
      <c r="Y6" s="2">
        <v>303</v>
      </c>
      <c r="Z6" s="2">
        <v>336</v>
      </c>
      <c r="AA6" s="2">
        <v>370</v>
      </c>
      <c r="AB6" s="2">
        <v>406</v>
      </c>
      <c r="AC6" s="2">
        <v>443</v>
      </c>
      <c r="AD6" s="2">
        <v>480</v>
      </c>
      <c r="AE6" s="2">
        <v>520</v>
      </c>
      <c r="AF6" s="2">
        <v>560</v>
      </c>
      <c r="AG6" s="2">
        <v>601</v>
      </c>
      <c r="AH6" s="2">
        <v>642</v>
      </c>
      <c r="AI6" s="2">
        <v>685</v>
      </c>
      <c r="AJ6" s="2">
        <v>728</v>
      </c>
      <c r="AK6" s="2">
        <v>771</v>
      </c>
      <c r="AL6" s="2">
        <v>815</v>
      </c>
      <c r="AM6" s="2">
        <v>859</v>
      </c>
      <c r="AN6" s="2">
        <v>903</v>
      </c>
      <c r="AO6" s="2">
        <v>948</v>
      </c>
      <c r="AP6" s="2">
        <v>993</v>
      </c>
      <c r="AQ6" s="2">
        <v>1038</v>
      </c>
      <c r="AR6" s="2">
        <v>1083</v>
      </c>
      <c r="AS6" s="2">
        <v>1129</v>
      </c>
      <c r="AT6" s="2">
        <v>1176</v>
      </c>
      <c r="AU6" s="2">
        <v>1224</v>
      </c>
      <c r="AV6" s="2">
        <v>1274</v>
      </c>
      <c r="AW6" s="2">
        <v>1324</v>
      </c>
      <c r="AX6" s="2">
        <v>1375</v>
      </c>
      <c r="AY6" s="2">
        <v>1428</v>
      </c>
      <c r="AZ6" s="2">
        <v>1482</v>
      </c>
      <c r="BA6" s="2">
        <v>1544</v>
      </c>
      <c r="BB6" s="2">
        <v>1606</v>
      </c>
      <c r="BC6" s="2">
        <v>1669</v>
      </c>
      <c r="BD6" s="2">
        <v>1737</v>
      </c>
      <c r="BE6" s="2">
        <v>1810</v>
      </c>
      <c r="BF6" s="2">
        <v>1887</v>
      </c>
    </row>
    <row r="7" spans="1:58" x14ac:dyDescent="0.2">
      <c r="A7" s="1">
        <v>5</v>
      </c>
      <c r="B7">
        <v>10.5</v>
      </c>
      <c r="C7">
        <v>10.5</v>
      </c>
      <c r="D7" s="2">
        <v>3</v>
      </c>
      <c r="E7" s="2">
        <v>3</v>
      </c>
      <c r="F7" s="2">
        <v>2</v>
      </c>
      <c r="G7" s="2"/>
      <c r="H7" s="2"/>
      <c r="I7" s="2">
        <v>5</v>
      </c>
      <c r="J7" s="2">
        <v>10</v>
      </c>
      <c r="K7" s="2">
        <v>15</v>
      </c>
      <c r="L7" s="2">
        <v>22</v>
      </c>
      <c r="M7" s="2">
        <v>40</v>
      </c>
      <c r="N7" s="2">
        <v>60</v>
      </c>
      <c r="O7" s="2">
        <v>80</v>
      </c>
      <c r="P7" s="2">
        <v>102</v>
      </c>
      <c r="Q7" s="2">
        <v>126</v>
      </c>
      <c r="R7" s="2">
        <v>151</v>
      </c>
      <c r="S7" s="2">
        <v>176</v>
      </c>
      <c r="T7" s="2">
        <v>202</v>
      </c>
      <c r="U7" s="2">
        <v>228</v>
      </c>
      <c r="V7" s="2">
        <v>256</v>
      </c>
      <c r="W7" s="2">
        <v>286</v>
      </c>
      <c r="X7" s="2">
        <v>316</v>
      </c>
      <c r="Y7" s="2">
        <v>347</v>
      </c>
      <c r="Z7" s="2">
        <v>384</v>
      </c>
      <c r="AA7" s="2">
        <v>422</v>
      </c>
      <c r="AB7" s="2">
        <v>460</v>
      </c>
      <c r="AC7" s="2">
        <v>500</v>
      </c>
      <c r="AD7" s="2">
        <v>541</v>
      </c>
      <c r="AE7" s="2">
        <v>583</v>
      </c>
      <c r="AF7" s="2">
        <v>628</v>
      </c>
      <c r="AG7" s="2">
        <v>674</v>
      </c>
      <c r="AH7" s="2">
        <v>720</v>
      </c>
      <c r="AI7" s="2">
        <v>768</v>
      </c>
      <c r="AJ7" s="2">
        <v>816</v>
      </c>
      <c r="AK7" s="2">
        <v>864</v>
      </c>
      <c r="AL7" s="2">
        <v>913</v>
      </c>
      <c r="AM7" s="2">
        <v>962</v>
      </c>
      <c r="AN7" s="2">
        <v>1011</v>
      </c>
      <c r="AO7" s="2">
        <v>1061</v>
      </c>
      <c r="AP7" s="2">
        <v>1111</v>
      </c>
      <c r="AQ7" s="2">
        <v>1161</v>
      </c>
      <c r="AR7" s="2">
        <v>1211</v>
      </c>
      <c r="AS7" s="2">
        <v>1262</v>
      </c>
      <c r="AT7" s="2">
        <v>1314</v>
      </c>
      <c r="AU7" s="2">
        <v>1366</v>
      </c>
      <c r="AV7" s="2">
        <v>1420</v>
      </c>
      <c r="AW7" s="2">
        <v>1475</v>
      </c>
      <c r="AX7" s="2">
        <v>1532</v>
      </c>
      <c r="AY7" s="2">
        <v>1589</v>
      </c>
      <c r="AZ7" s="2">
        <v>1648</v>
      </c>
      <c r="BA7" s="2">
        <v>1715</v>
      </c>
      <c r="BB7" s="2">
        <v>1783</v>
      </c>
      <c r="BC7" s="2">
        <v>1851</v>
      </c>
      <c r="BD7" s="2">
        <v>1924</v>
      </c>
      <c r="BE7" s="2">
        <v>2002</v>
      </c>
      <c r="BF7" s="2">
        <v>2083</v>
      </c>
    </row>
    <row r="8" spans="1:58" x14ac:dyDescent="0.2">
      <c r="A8" s="1">
        <v>6</v>
      </c>
      <c r="B8">
        <v>2.5</v>
      </c>
      <c r="C8">
        <v>0</v>
      </c>
      <c r="D8" s="2">
        <v>1</v>
      </c>
      <c r="E8" s="2">
        <v>0</v>
      </c>
      <c r="F8" s="2">
        <v>2</v>
      </c>
      <c r="G8" s="2"/>
      <c r="H8" s="2"/>
      <c r="I8" s="2">
        <v>5</v>
      </c>
      <c r="J8" s="2">
        <v>15</v>
      </c>
      <c r="K8" s="2">
        <v>25</v>
      </c>
      <c r="L8" s="2">
        <v>37</v>
      </c>
      <c r="M8" s="2">
        <v>55</v>
      </c>
      <c r="N8" s="2">
        <v>74</v>
      </c>
      <c r="O8" s="2">
        <v>94</v>
      </c>
      <c r="P8" s="2">
        <v>115</v>
      </c>
      <c r="Q8" s="2">
        <v>137</v>
      </c>
      <c r="R8" s="2">
        <v>159</v>
      </c>
      <c r="S8" s="2">
        <v>182</v>
      </c>
      <c r="T8" s="2">
        <v>205</v>
      </c>
      <c r="U8" s="2">
        <v>230</v>
      </c>
      <c r="V8" s="2">
        <v>255</v>
      </c>
      <c r="W8" s="2">
        <v>280</v>
      </c>
      <c r="X8" s="2">
        <v>306</v>
      </c>
      <c r="Y8" s="2">
        <v>333</v>
      </c>
      <c r="Z8" s="2">
        <v>364</v>
      </c>
      <c r="AA8" s="2">
        <v>396</v>
      </c>
      <c r="AB8" s="2">
        <v>430</v>
      </c>
      <c r="AC8" s="2">
        <v>465</v>
      </c>
      <c r="AD8" s="2">
        <v>505</v>
      </c>
      <c r="AE8" s="2">
        <v>545</v>
      </c>
      <c r="AF8" s="2">
        <v>585</v>
      </c>
      <c r="AG8" s="2">
        <v>627</v>
      </c>
      <c r="AH8" s="2">
        <v>670</v>
      </c>
      <c r="AI8" s="2">
        <v>714</v>
      </c>
      <c r="AJ8" s="2">
        <v>758</v>
      </c>
      <c r="AK8" s="2">
        <v>803</v>
      </c>
      <c r="AL8" s="2">
        <v>848</v>
      </c>
      <c r="AM8" s="2">
        <v>893</v>
      </c>
      <c r="AN8" s="2">
        <v>939</v>
      </c>
      <c r="AO8" s="2">
        <v>985</v>
      </c>
      <c r="AP8" s="2">
        <v>1031</v>
      </c>
      <c r="AQ8" s="2">
        <v>1079</v>
      </c>
      <c r="AR8" s="2">
        <v>1127</v>
      </c>
      <c r="AS8" s="2">
        <v>1176</v>
      </c>
      <c r="AT8" s="2">
        <v>1227</v>
      </c>
      <c r="AU8" s="2">
        <v>1279</v>
      </c>
      <c r="AV8" s="2">
        <v>1332</v>
      </c>
      <c r="AW8" s="2">
        <v>1386</v>
      </c>
      <c r="AX8" s="2">
        <v>1440</v>
      </c>
      <c r="AY8" s="2">
        <v>1497</v>
      </c>
      <c r="AZ8" s="2">
        <v>1554</v>
      </c>
      <c r="BA8" s="2">
        <v>1617</v>
      </c>
      <c r="BB8" s="2">
        <v>1680</v>
      </c>
      <c r="BC8" s="2">
        <v>1744</v>
      </c>
      <c r="BD8" s="2">
        <v>1813</v>
      </c>
      <c r="BE8" s="2">
        <v>1887</v>
      </c>
      <c r="BF8" s="2">
        <v>1967</v>
      </c>
    </row>
    <row r="9" spans="1:58" x14ac:dyDescent="0.2">
      <c r="A9" s="1">
        <v>7</v>
      </c>
      <c r="B9">
        <v>2.5</v>
      </c>
      <c r="C9">
        <v>2.5</v>
      </c>
      <c r="D9" s="2">
        <v>1</v>
      </c>
      <c r="E9" s="2">
        <v>1</v>
      </c>
      <c r="F9" s="2">
        <v>1</v>
      </c>
      <c r="G9" s="2"/>
      <c r="H9" s="2"/>
      <c r="I9" s="2">
        <v>5</v>
      </c>
      <c r="J9" s="2">
        <v>16</v>
      </c>
      <c r="K9" s="2">
        <v>28</v>
      </c>
      <c r="L9" s="2">
        <v>42</v>
      </c>
      <c r="M9" s="2">
        <v>62</v>
      </c>
      <c r="N9" s="2">
        <v>83</v>
      </c>
      <c r="O9" s="2">
        <v>105</v>
      </c>
      <c r="P9" s="2">
        <v>128</v>
      </c>
      <c r="Q9" s="2">
        <v>151</v>
      </c>
      <c r="R9" s="2">
        <v>175</v>
      </c>
      <c r="S9" s="2">
        <v>200</v>
      </c>
      <c r="T9" s="2">
        <v>225</v>
      </c>
      <c r="U9" s="2">
        <v>251</v>
      </c>
      <c r="V9" s="2">
        <v>277</v>
      </c>
      <c r="W9" s="2">
        <v>304</v>
      </c>
      <c r="X9" s="2">
        <v>332</v>
      </c>
      <c r="Y9" s="2">
        <v>361</v>
      </c>
      <c r="Z9" s="2">
        <v>391</v>
      </c>
      <c r="AA9" s="2">
        <v>422</v>
      </c>
      <c r="AB9" s="2">
        <v>455</v>
      </c>
      <c r="AC9" s="2">
        <v>490</v>
      </c>
      <c r="AD9" s="2">
        <v>530</v>
      </c>
      <c r="AE9" s="2">
        <v>571</v>
      </c>
      <c r="AF9" s="2">
        <v>614</v>
      </c>
      <c r="AG9" s="2">
        <v>657</v>
      </c>
      <c r="AH9" s="2">
        <v>701</v>
      </c>
      <c r="AI9" s="2">
        <v>746</v>
      </c>
      <c r="AJ9" s="2">
        <v>792</v>
      </c>
      <c r="AK9" s="2">
        <v>838</v>
      </c>
      <c r="AL9" s="2">
        <v>884</v>
      </c>
      <c r="AM9" s="2">
        <v>931</v>
      </c>
      <c r="AN9" s="2">
        <v>978</v>
      </c>
      <c r="AO9" s="2">
        <v>1025</v>
      </c>
      <c r="AP9" s="2">
        <v>1072</v>
      </c>
      <c r="AQ9" s="2">
        <v>1121</v>
      </c>
      <c r="AR9" s="2">
        <v>1171</v>
      </c>
      <c r="AS9" s="2">
        <v>1223</v>
      </c>
      <c r="AT9" s="2">
        <v>1276</v>
      </c>
      <c r="AU9" s="2">
        <v>1331</v>
      </c>
      <c r="AV9" s="2">
        <v>1386</v>
      </c>
      <c r="AW9" s="2">
        <v>1441</v>
      </c>
      <c r="AX9" s="2">
        <v>1498</v>
      </c>
      <c r="AY9" s="2">
        <v>1556</v>
      </c>
      <c r="AZ9" s="2">
        <v>1616</v>
      </c>
      <c r="BA9" s="2">
        <v>1680</v>
      </c>
      <c r="BB9" s="2">
        <v>1745</v>
      </c>
      <c r="BC9" s="2">
        <v>1810</v>
      </c>
      <c r="BD9" s="2">
        <v>1880</v>
      </c>
      <c r="BE9" s="2">
        <v>1955</v>
      </c>
      <c r="BF9" s="2">
        <v>2038</v>
      </c>
    </row>
    <row r="10" spans="1:58" x14ac:dyDescent="0.2">
      <c r="A10" s="1">
        <v>8</v>
      </c>
      <c r="B10">
        <v>25</v>
      </c>
      <c r="C10">
        <v>25</v>
      </c>
      <c r="D10" s="2">
        <v>7</v>
      </c>
      <c r="E10" s="2">
        <v>7</v>
      </c>
      <c r="F10" s="2">
        <v>7</v>
      </c>
      <c r="G10" s="2"/>
      <c r="H10" s="2"/>
      <c r="I10" s="2">
        <v>2</v>
      </c>
      <c r="J10" s="2">
        <v>5</v>
      </c>
      <c r="K10" s="2">
        <v>10</v>
      </c>
      <c r="L10" s="2">
        <v>15</v>
      </c>
      <c r="M10" s="2">
        <v>22</v>
      </c>
      <c r="N10" s="2">
        <v>32</v>
      </c>
      <c r="O10" s="2">
        <v>46</v>
      </c>
      <c r="P10" s="2">
        <v>63</v>
      </c>
      <c r="Q10" s="2">
        <v>80</v>
      </c>
      <c r="R10" s="2">
        <v>97</v>
      </c>
      <c r="S10" s="2">
        <v>114</v>
      </c>
      <c r="T10" s="2">
        <v>131</v>
      </c>
      <c r="U10" s="2">
        <v>150</v>
      </c>
      <c r="V10" s="2">
        <v>169</v>
      </c>
      <c r="W10" s="2">
        <v>189</v>
      </c>
      <c r="X10" s="2">
        <v>209</v>
      </c>
      <c r="Y10" s="2">
        <v>229</v>
      </c>
      <c r="Z10" s="2">
        <v>249</v>
      </c>
      <c r="AA10" s="2">
        <v>269</v>
      </c>
      <c r="AB10" s="2">
        <v>289</v>
      </c>
      <c r="AC10" s="2">
        <v>311</v>
      </c>
      <c r="AD10" s="2">
        <v>333</v>
      </c>
      <c r="AE10" s="2">
        <v>355</v>
      </c>
      <c r="AF10" s="2">
        <v>377</v>
      </c>
      <c r="AG10" s="2">
        <v>400</v>
      </c>
      <c r="AH10" s="2">
        <v>423</v>
      </c>
      <c r="AI10" s="2">
        <v>448</v>
      </c>
      <c r="AJ10" s="2">
        <v>474</v>
      </c>
      <c r="AK10" s="2">
        <v>502</v>
      </c>
      <c r="AL10" s="2">
        <v>530</v>
      </c>
      <c r="AM10" s="2">
        <v>560</v>
      </c>
      <c r="AN10" s="2">
        <v>591</v>
      </c>
      <c r="AO10" s="2">
        <v>622</v>
      </c>
      <c r="AP10" s="2">
        <v>655</v>
      </c>
      <c r="AQ10" s="2">
        <v>688</v>
      </c>
      <c r="AR10" s="2">
        <v>721</v>
      </c>
      <c r="AS10" s="2">
        <v>755</v>
      </c>
      <c r="AT10" s="2">
        <v>790</v>
      </c>
      <c r="AU10" s="2">
        <v>825</v>
      </c>
      <c r="AV10" s="2">
        <v>861</v>
      </c>
      <c r="AW10" s="2">
        <v>898</v>
      </c>
      <c r="AX10" s="2">
        <v>936</v>
      </c>
      <c r="AY10" s="2">
        <v>974</v>
      </c>
      <c r="AZ10" s="2">
        <v>1012</v>
      </c>
      <c r="BA10" s="2">
        <v>1052</v>
      </c>
      <c r="BB10" s="2">
        <v>1094</v>
      </c>
      <c r="BC10" s="2">
        <v>1136</v>
      </c>
      <c r="BD10" s="2">
        <v>1179</v>
      </c>
      <c r="BE10" s="2">
        <v>1228</v>
      </c>
      <c r="BF10" s="2">
        <v>1288</v>
      </c>
    </row>
    <row r="11" spans="1:58" x14ac:dyDescent="0.2">
      <c r="A11" s="1">
        <v>9</v>
      </c>
      <c r="B11">
        <v>25</v>
      </c>
      <c r="C11">
        <v>25</v>
      </c>
      <c r="D11" s="2">
        <v>7</v>
      </c>
      <c r="E11" s="2">
        <v>7</v>
      </c>
      <c r="F11" s="2">
        <v>5</v>
      </c>
      <c r="G11" s="2"/>
      <c r="H11" s="2"/>
      <c r="I11" s="2">
        <v>2</v>
      </c>
      <c r="J11" s="2">
        <v>5</v>
      </c>
      <c r="K11" s="2">
        <v>8</v>
      </c>
      <c r="L11" s="2">
        <v>12</v>
      </c>
      <c r="M11" s="2">
        <v>17</v>
      </c>
      <c r="N11" s="2">
        <v>25</v>
      </c>
      <c r="O11" s="2">
        <v>40</v>
      </c>
      <c r="P11" s="2">
        <v>57</v>
      </c>
      <c r="Q11" s="2">
        <v>74</v>
      </c>
      <c r="R11" s="2">
        <v>92</v>
      </c>
      <c r="S11" s="2">
        <v>110</v>
      </c>
      <c r="T11" s="2">
        <v>129</v>
      </c>
      <c r="U11" s="2">
        <v>149</v>
      </c>
      <c r="V11" s="2">
        <v>169</v>
      </c>
      <c r="W11" s="2">
        <v>189</v>
      </c>
      <c r="X11" s="2">
        <v>209</v>
      </c>
      <c r="Y11" s="2">
        <v>229</v>
      </c>
      <c r="Z11" s="2">
        <v>250</v>
      </c>
      <c r="AA11" s="2">
        <v>271</v>
      </c>
      <c r="AB11" s="2">
        <v>292</v>
      </c>
      <c r="AC11" s="2">
        <v>313</v>
      </c>
      <c r="AD11" s="2">
        <v>335</v>
      </c>
      <c r="AE11" s="2">
        <v>357</v>
      </c>
      <c r="AF11" s="2">
        <v>379</v>
      </c>
      <c r="AG11" s="2">
        <v>401</v>
      </c>
      <c r="AH11" s="2">
        <v>424</v>
      </c>
      <c r="AI11" s="2">
        <v>448</v>
      </c>
      <c r="AJ11" s="2">
        <v>472</v>
      </c>
      <c r="AK11" s="2">
        <v>500</v>
      </c>
      <c r="AL11" s="2">
        <v>529</v>
      </c>
      <c r="AM11" s="2">
        <v>559</v>
      </c>
      <c r="AN11" s="2">
        <v>589</v>
      </c>
      <c r="AO11" s="2">
        <v>622</v>
      </c>
      <c r="AP11" s="2">
        <v>655</v>
      </c>
      <c r="AQ11" s="2">
        <v>688</v>
      </c>
      <c r="AR11" s="2">
        <v>721</v>
      </c>
      <c r="AS11" s="2">
        <v>756</v>
      </c>
      <c r="AT11" s="2">
        <v>793</v>
      </c>
      <c r="AU11" s="2">
        <v>830</v>
      </c>
      <c r="AV11" s="2">
        <v>867</v>
      </c>
      <c r="AW11" s="2">
        <v>905</v>
      </c>
      <c r="AX11" s="2">
        <v>943</v>
      </c>
      <c r="AY11" s="2">
        <v>982</v>
      </c>
      <c r="AZ11" s="2">
        <v>1022</v>
      </c>
      <c r="BA11" s="2">
        <v>1064</v>
      </c>
      <c r="BB11" s="2">
        <v>1108</v>
      </c>
      <c r="BC11" s="2">
        <v>1152</v>
      </c>
      <c r="BD11" s="2">
        <v>1196</v>
      </c>
      <c r="BE11" s="2">
        <v>1245</v>
      </c>
      <c r="BF11" s="2">
        <v>1307</v>
      </c>
    </row>
    <row r="12" spans="1:58" x14ac:dyDescent="0.2">
      <c r="A12" s="1">
        <v>10</v>
      </c>
      <c r="B12">
        <v>23</v>
      </c>
      <c r="C12">
        <v>24</v>
      </c>
      <c r="D12" s="2">
        <v>6</v>
      </c>
      <c r="E12" s="2">
        <v>6</v>
      </c>
      <c r="F12" s="2">
        <v>6</v>
      </c>
      <c r="G12" s="2"/>
      <c r="H12" s="2"/>
      <c r="I12" s="2">
        <v>2</v>
      </c>
      <c r="J12" s="2">
        <v>4</v>
      </c>
      <c r="K12" s="2">
        <v>7</v>
      </c>
      <c r="L12" s="2">
        <v>11</v>
      </c>
      <c r="M12" s="2">
        <v>16</v>
      </c>
      <c r="N12" s="2">
        <v>21</v>
      </c>
      <c r="O12" s="2">
        <v>38</v>
      </c>
      <c r="P12" s="2">
        <v>55</v>
      </c>
      <c r="Q12" s="2">
        <v>73</v>
      </c>
      <c r="R12" s="2">
        <v>91</v>
      </c>
      <c r="S12" s="2">
        <v>110</v>
      </c>
      <c r="T12" s="2">
        <v>129</v>
      </c>
      <c r="U12" s="2">
        <v>149</v>
      </c>
      <c r="V12" s="2">
        <v>169</v>
      </c>
      <c r="W12" s="2">
        <v>189</v>
      </c>
      <c r="X12" s="2">
        <v>210</v>
      </c>
      <c r="Y12" s="2">
        <v>231</v>
      </c>
      <c r="Z12" s="2">
        <v>252</v>
      </c>
      <c r="AA12" s="2">
        <v>274</v>
      </c>
      <c r="AB12" s="2">
        <v>296</v>
      </c>
      <c r="AC12" s="2">
        <v>318</v>
      </c>
      <c r="AD12" s="2">
        <v>340</v>
      </c>
      <c r="AE12" s="2">
        <v>362</v>
      </c>
      <c r="AF12" s="2">
        <v>384</v>
      </c>
      <c r="AG12" s="2">
        <v>406</v>
      </c>
      <c r="AH12" s="2">
        <v>429</v>
      </c>
      <c r="AI12" s="2">
        <v>453</v>
      </c>
      <c r="AJ12" s="2">
        <v>478</v>
      </c>
      <c r="AK12" s="2">
        <v>503</v>
      </c>
      <c r="AL12" s="2">
        <v>532</v>
      </c>
      <c r="AM12" s="2">
        <v>563</v>
      </c>
      <c r="AN12" s="2">
        <v>595</v>
      </c>
      <c r="AO12" s="2">
        <v>628</v>
      </c>
      <c r="AP12" s="2">
        <v>661</v>
      </c>
      <c r="AQ12" s="2">
        <v>694</v>
      </c>
      <c r="AR12" s="2">
        <v>729</v>
      </c>
      <c r="AS12" s="2">
        <v>767</v>
      </c>
      <c r="AT12" s="2">
        <v>806</v>
      </c>
      <c r="AU12" s="2">
        <v>845</v>
      </c>
      <c r="AV12" s="2">
        <v>885</v>
      </c>
      <c r="AW12" s="2">
        <v>925</v>
      </c>
      <c r="AX12" s="2">
        <v>965</v>
      </c>
      <c r="AY12" s="2">
        <v>1005</v>
      </c>
      <c r="AZ12" s="2">
        <v>1048</v>
      </c>
      <c r="BA12" s="2">
        <v>1093</v>
      </c>
      <c r="BB12" s="2">
        <v>1138</v>
      </c>
      <c r="BC12" s="2">
        <v>1184</v>
      </c>
      <c r="BD12" s="2">
        <v>1231</v>
      </c>
      <c r="BE12" s="2">
        <v>1281</v>
      </c>
      <c r="BF12" s="2">
        <v>1346</v>
      </c>
    </row>
    <row r="13" spans="1:58" x14ac:dyDescent="0.2">
      <c r="A13" s="1">
        <v>11</v>
      </c>
      <c r="B13">
        <v>24</v>
      </c>
      <c r="C13">
        <v>17.5</v>
      </c>
      <c r="D13" s="2">
        <v>7</v>
      </c>
      <c r="E13" s="2">
        <v>5</v>
      </c>
      <c r="F13" s="2">
        <v>6</v>
      </c>
      <c r="G13" s="2"/>
      <c r="H13" s="2"/>
      <c r="I13" s="2">
        <v>2</v>
      </c>
      <c r="J13" s="2">
        <v>5</v>
      </c>
      <c r="K13" s="2">
        <v>10</v>
      </c>
      <c r="L13" s="2">
        <v>15</v>
      </c>
      <c r="M13" s="2">
        <v>20</v>
      </c>
      <c r="N13" s="2">
        <v>28</v>
      </c>
      <c r="O13" s="2">
        <v>44</v>
      </c>
      <c r="P13" s="2">
        <v>62</v>
      </c>
      <c r="Q13" s="2">
        <v>80</v>
      </c>
      <c r="R13" s="2">
        <v>99</v>
      </c>
      <c r="S13" s="2">
        <v>119</v>
      </c>
      <c r="T13" s="2">
        <v>139</v>
      </c>
      <c r="U13" s="2">
        <v>159</v>
      </c>
      <c r="V13" s="2">
        <v>180</v>
      </c>
      <c r="W13" s="2">
        <v>201</v>
      </c>
      <c r="X13" s="2">
        <v>223</v>
      </c>
      <c r="Y13" s="2">
        <v>245</v>
      </c>
      <c r="Z13" s="2">
        <v>268</v>
      </c>
      <c r="AA13" s="2">
        <v>291</v>
      </c>
      <c r="AB13" s="2">
        <v>314</v>
      </c>
      <c r="AC13" s="2">
        <v>338</v>
      </c>
      <c r="AD13" s="2">
        <v>363</v>
      </c>
      <c r="AE13" s="2">
        <v>388</v>
      </c>
      <c r="AF13" s="2">
        <v>413</v>
      </c>
      <c r="AG13" s="2">
        <v>438</v>
      </c>
      <c r="AH13" s="2">
        <v>463</v>
      </c>
      <c r="AI13" s="2">
        <v>488</v>
      </c>
      <c r="AJ13" s="2">
        <v>514</v>
      </c>
      <c r="AK13" s="2">
        <v>541</v>
      </c>
      <c r="AL13" s="2">
        <v>569</v>
      </c>
      <c r="AM13" s="2">
        <v>599</v>
      </c>
      <c r="AN13" s="2">
        <v>629</v>
      </c>
      <c r="AO13" s="2">
        <v>659</v>
      </c>
      <c r="AP13" s="2">
        <v>694</v>
      </c>
      <c r="AQ13" s="2">
        <v>730</v>
      </c>
      <c r="AR13" s="2">
        <v>769</v>
      </c>
      <c r="AS13" s="2">
        <v>809</v>
      </c>
      <c r="AT13" s="2">
        <v>849</v>
      </c>
      <c r="AU13" s="2">
        <v>891</v>
      </c>
      <c r="AV13" s="2">
        <v>933</v>
      </c>
      <c r="AW13" s="2">
        <v>975</v>
      </c>
      <c r="AX13" s="2">
        <v>1018</v>
      </c>
      <c r="AY13" s="2">
        <v>1062</v>
      </c>
      <c r="AZ13" s="2">
        <v>1107</v>
      </c>
      <c r="BA13" s="2">
        <v>1153</v>
      </c>
      <c r="BB13" s="2">
        <v>1200</v>
      </c>
      <c r="BC13" s="2">
        <v>1248</v>
      </c>
      <c r="BD13" s="2">
        <v>1297</v>
      </c>
      <c r="BE13" s="2">
        <v>1351</v>
      </c>
      <c r="BF13" s="2">
        <v>1419</v>
      </c>
    </row>
    <row r="14" spans="1:58" x14ac:dyDescent="0.2">
      <c r="A14" s="1">
        <v>12</v>
      </c>
      <c r="B14">
        <v>11.5</v>
      </c>
      <c r="C14">
        <v>14.5</v>
      </c>
      <c r="D14" s="2">
        <v>3</v>
      </c>
      <c r="E14" s="2">
        <v>4</v>
      </c>
      <c r="F14" s="2">
        <v>5</v>
      </c>
      <c r="G14" s="2"/>
      <c r="H14" s="2"/>
      <c r="I14" s="2">
        <v>4</v>
      </c>
      <c r="J14" s="2">
        <v>9</v>
      </c>
      <c r="K14" s="2">
        <v>14</v>
      </c>
      <c r="L14" s="2">
        <v>21</v>
      </c>
      <c r="M14" s="2">
        <v>29</v>
      </c>
      <c r="N14" s="2">
        <v>40</v>
      </c>
      <c r="O14" s="2">
        <v>55</v>
      </c>
      <c r="P14" s="2">
        <v>73</v>
      </c>
      <c r="Q14" s="2">
        <v>91</v>
      </c>
      <c r="R14" s="2">
        <v>109</v>
      </c>
      <c r="S14" s="2">
        <v>129</v>
      </c>
      <c r="T14" s="2">
        <v>149</v>
      </c>
      <c r="U14" s="2">
        <v>171</v>
      </c>
      <c r="V14" s="2">
        <v>193</v>
      </c>
      <c r="W14" s="2">
        <v>215</v>
      </c>
      <c r="X14" s="2">
        <v>238</v>
      </c>
      <c r="Y14" s="2">
        <v>261</v>
      </c>
      <c r="Z14" s="2">
        <v>284</v>
      </c>
      <c r="AA14" s="2">
        <v>308</v>
      </c>
      <c r="AB14" s="2">
        <v>332</v>
      </c>
      <c r="AC14" s="2">
        <v>357</v>
      </c>
      <c r="AD14" s="2">
        <v>382</v>
      </c>
      <c r="AE14" s="2">
        <v>407</v>
      </c>
      <c r="AF14" s="2">
        <v>432</v>
      </c>
      <c r="AG14" s="2">
        <v>458</v>
      </c>
      <c r="AH14" s="2">
        <v>484</v>
      </c>
      <c r="AI14" s="2">
        <v>510</v>
      </c>
      <c r="AJ14" s="2">
        <v>537</v>
      </c>
      <c r="AK14" s="2">
        <v>566</v>
      </c>
      <c r="AL14" s="2">
        <v>596</v>
      </c>
      <c r="AM14" s="2">
        <v>626</v>
      </c>
      <c r="AN14" s="2">
        <v>656</v>
      </c>
      <c r="AO14" s="2">
        <v>686</v>
      </c>
      <c r="AP14" s="2">
        <v>723</v>
      </c>
      <c r="AQ14" s="2">
        <v>761</v>
      </c>
      <c r="AR14" s="2">
        <v>802</v>
      </c>
      <c r="AS14" s="2">
        <v>844</v>
      </c>
      <c r="AT14" s="2">
        <v>887</v>
      </c>
      <c r="AU14" s="2">
        <v>930</v>
      </c>
      <c r="AV14" s="2">
        <v>974</v>
      </c>
      <c r="AW14" s="2">
        <v>1019</v>
      </c>
      <c r="AX14" s="2">
        <v>1064</v>
      </c>
      <c r="AY14" s="2">
        <v>1109</v>
      </c>
      <c r="AZ14" s="2">
        <v>1157</v>
      </c>
      <c r="BA14" s="2">
        <v>1205</v>
      </c>
      <c r="BB14" s="2">
        <v>1255</v>
      </c>
      <c r="BC14" s="2">
        <v>1305</v>
      </c>
      <c r="BD14" s="2">
        <v>1357</v>
      </c>
      <c r="BE14" s="2">
        <v>1412</v>
      </c>
      <c r="BF14" s="2">
        <v>1482</v>
      </c>
    </row>
    <row r="15" spans="1:58" x14ac:dyDescent="0.2">
      <c r="A15" s="1">
        <v>13</v>
      </c>
      <c r="B15">
        <v>23</v>
      </c>
      <c r="C15">
        <v>19</v>
      </c>
      <c r="D15" s="2">
        <v>7</v>
      </c>
      <c r="E15" s="2">
        <v>6</v>
      </c>
      <c r="F15" s="2">
        <v>6</v>
      </c>
      <c r="G15" s="2"/>
      <c r="H15" s="2"/>
      <c r="I15" s="2">
        <v>2</v>
      </c>
      <c r="J15" s="2">
        <v>7</v>
      </c>
      <c r="K15" s="2">
        <v>12</v>
      </c>
      <c r="L15" s="2">
        <v>17</v>
      </c>
      <c r="M15" s="2">
        <v>26</v>
      </c>
      <c r="N15" s="2">
        <v>41</v>
      </c>
      <c r="O15" s="2">
        <v>58</v>
      </c>
      <c r="P15" s="2">
        <v>77</v>
      </c>
      <c r="Q15" s="2">
        <v>96</v>
      </c>
      <c r="R15" s="2">
        <v>115</v>
      </c>
      <c r="S15" s="2">
        <v>134</v>
      </c>
      <c r="T15" s="2">
        <v>156</v>
      </c>
      <c r="U15" s="2">
        <v>178</v>
      </c>
      <c r="V15" s="2">
        <v>201</v>
      </c>
      <c r="W15" s="2">
        <v>225</v>
      </c>
      <c r="X15" s="2">
        <v>249</v>
      </c>
      <c r="Y15" s="2">
        <v>274</v>
      </c>
      <c r="Z15" s="2">
        <v>299</v>
      </c>
      <c r="AA15" s="2">
        <v>325</v>
      </c>
      <c r="AB15" s="2">
        <v>353</v>
      </c>
      <c r="AC15" s="2">
        <v>381</v>
      </c>
      <c r="AD15" s="2">
        <v>418</v>
      </c>
      <c r="AE15" s="2">
        <v>457</v>
      </c>
      <c r="AF15" s="2">
        <v>496</v>
      </c>
      <c r="AG15" s="2">
        <v>535</v>
      </c>
      <c r="AH15" s="2">
        <v>575</v>
      </c>
      <c r="AI15" s="2">
        <v>615</v>
      </c>
      <c r="AJ15" s="2">
        <v>656</v>
      </c>
      <c r="AK15" s="2">
        <v>697</v>
      </c>
      <c r="AL15" s="2">
        <v>739</v>
      </c>
      <c r="AM15" s="2">
        <v>781</v>
      </c>
      <c r="AN15" s="2">
        <v>823</v>
      </c>
      <c r="AO15" s="2">
        <v>866</v>
      </c>
      <c r="AP15" s="2">
        <v>910</v>
      </c>
      <c r="AQ15" s="2">
        <v>955</v>
      </c>
      <c r="AR15" s="2">
        <v>1000</v>
      </c>
      <c r="AS15" s="2">
        <v>1046</v>
      </c>
      <c r="AT15" s="2">
        <v>1092</v>
      </c>
      <c r="AU15" s="2">
        <v>1139</v>
      </c>
      <c r="AV15" s="2">
        <v>1187</v>
      </c>
      <c r="AW15" s="2">
        <v>1237</v>
      </c>
      <c r="AX15" s="2">
        <v>1294</v>
      </c>
      <c r="AY15" s="2">
        <v>1352</v>
      </c>
      <c r="AZ15" s="2">
        <v>1412</v>
      </c>
      <c r="BA15" s="2">
        <v>1473</v>
      </c>
      <c r="BB15" s="2">
        <v>1536</v>
      </c>
      <c r="BC15" s="2">
        <v>1600</v>
      </c>
      <c r="BD15" s="2">
        <v>1665</v>
      </c>
      <c r="BE15" s="2">
        <v>1732</v>
      </c>
      <c r="BF15" s="2">
        <v>1812</v>
      </c>
    </row>
    <row r="16" spans="1:58" x14ac:dyDescent="0.2">
      <c r="A16" s="1">
        <v>14</v>
      </c>
      <c r="B16">
        <v>16.5</v>
      </c>
      <c r="C16">
        <v>19.5</v>
      </c>
      <c r="D16" s="2">
        <v>4</v>
      </c>
      <c r="E16" s="2">
        <v>5</v>
      </c>
      <c r="F16" s="2">
        <v>4</v>
      </c>
      <c r="G16" s="2"/>
      <c r="H16" s="2"/>
      <c r="I16" s="2">
        <v>5</v>
      </c>
      <c r="J16" s="2">
        <v>12</v>
      </c>
      <c r="K16" s="2">
        <v>22</v>
      </c>
      <c r="L16" s="2">
        <v>32</v>
      </c>
      <c r="M16" s="2">
        <v>43</v>
      </c>
      <c r="N16" s="2">
        <v>63</v>
      </c>
      <c r="O16" s="2">
        <v>83</v>
      </c>
      <c r="P16" s="2">
        <v>104</v>
      </c>
      <c r="Q16" s="2">
        <v>125</v>
      </c>
      <c r="R16" s="2">
        <v>148</v>
      </c>
      <c r="S16" s="2">
        <v>172</v>
      </c>
      <c r="T16" s="2">
        <v>197</v>
      </c>
      <c r="U16" s="2">
        <v>222</v>
      </c>
      <c r="V16" s="2">
        <v>247</v>
      </c>
      <c r="W16" s="2">
        <v>275</v>
      </c>
      <c r="X16" s="2">
        <v>303</v>
      </c>
      <c r="Y16" s="2">
        <v>331</v>
      </c>
      <c r="Z16" s="2">
        <v>360</v>
      </c>
      <c r="AA16" s="2">
        <v>390</v>
      </c>
      <c r="AB16" s="2">
        <v>420</v>
      </c>
      <c r="AC16" s="2">
        <v>450</v>
      </c>
      <c r="AD16" s="2">
        <v>488</v>
      </c>
      <c r="AE16" s="2">
        <v>528</v>
      </c>
      <c r="AF16" s="2">
        <v>570</v>
      </c>
      <c r="AG16" s="2">
        <v>612</v>
      </c>
      <c r="AH16" s="2">
        <v>655</v>
      </c>
      <c r="AI16" s="2">
        <v>698</v>
      </c>
      <c r="AJ16" s="2">
        <v>742</v>
      </c>
      <c r="AK16" s="2">
        <v>787</v>
      </c>
      <c r="AL16" s="2">
        <v>833</v>
      </c>
      <c r="AM16" s="2">
        <v>879</v>
      </c>
      <c r="AN16" s="2">
        <v>926</v>
      </c>
      <c r="AO16" s="2">
        <v>974</v>
      </c>
      <c r="AP16" s="2">
        <v>1022</v>
      </c>
      <c r="AQ16" s="2">
        <v>1070</v>
      </c>
      <c r="AR16" s="2">
        <v>1118</v>
      </c>
      <c r="AS16" s="2">
        <v>1167</v>
      </c>
      <c r="AT16" s="2">
        <v>1216</v>
      </c>
      <c r="AU16" s="2">
        <v>1268</v>
      </c>
      <c r="AV16" s="2">
        <v>1320</v>
      </c>
      <c r="AW16" s="2">
        <v>1373</v>
      </c>
      <c r="AX16" s="2">
        <v>1435</v>
      </c>
      <c r="AY16" s="2">
        <v>1498</v>
      </c>
      <c r="AZ16" s="2">
        <v>1563</v>
      </c>
      <c r="BA16" s="2">
        <v>1629</v>
      </c>
      <c r="BB16" s="2">
        <v>1696</v>
      </c>
      <c r="BC16" s="2">
        <v>1764</v>
      </c>
      <c r="BD16" s="2">
        <v>1833</v>
      </c>
      <c r="BE16" s="2">
        <v>1905</v>
      </c>
      <c r="BF16" s="2">
        <v>1988</v>
      </c>
    </row>
    <row r="17" spans="1:58" x14ac:dyDescent="0.2">
      <c r="A17" s="1">
        <v>15</v>
      </c>
      <c r="B17">
        <v>5</v>
      </c>
      <c r="C17">
        <v>8</v>
      </c>
      <c r="D17" s="2">
        <v>2</v>
      </c>
      <c r="E17" s="2">
        <v>3</v>
      </c>
      <c r="F17" s="2">
        <v>1</v>
      </c>
      <c r="G17" s="2"/>
      <c r="H17" s="2"/>
      <c r="I17" s="2">
        <v>5</v>
      </c>
      <c r="J17" s="2">
        <v>10</v>
      </c>
      <c r="K17" s="2">
        <v>17</v>
      </c>
      <c r="L17" s="2">
        <v>25</v>
      </c>
      <c r="M17" s="2">
        <v>34</v>
      </c>
      <c r="N17" s="2">
        <v>54</v>
      </c>
      <c r="O17" s="2">
        <v>77</v>
      </c>
      <c r="P17" s="2">
        <v>101</v>
      </c>
      <c r="Q17" s="2">
        <v>126</v>
      </c>
      <c r="R17" s="2">
        <v>151</v>
      </c>
      <c r="S17" s="2">
        <v>176</v>
      </c>
      <c r="T17" s="2">
        <v>203</v>
      </c>
      <c r="U17" s="2">
        <v>230</v>
      </c>
      <c r="V17" s="2">
        <v>259</v>
      </c>
      <c r="W17" s="2">
        <v>288</v>
      </c>
      <c r="X17" s="2">
        <v>317</v>
      </c>
      <c r="Y17" s="2">
        <v>347</v>
      </c>
      <c r="Z17" s="2">
        <v>378</v>
      </c>
      <c r="AA17" s="2">
        <v>410</v>
      </c>
      <c r="AB17" s="2">
        <v>443</v>
      </c>
      <c r="AC17" s="2">
        <v>477</v>
      </c>
      <c r="AD17" s="2">
        <v>519</v>
      </c>
      <c r="AE17" s="2">
        <v>561</v>
      </c>
      <c r="AF17" s="2">
        <v>604</v>
      </c>
      <c r="AG17" s="2">
        <v>647</v>
      </c>
      <c r="AH17" s="2">
        <v>692</v>
      </c>
      <c r="AI17" s="2">
        <v>737</v>
      </c>
      <c r="AJ17" s="2">
        <v>783</v>
      </c>
      <c r="AK17" s="2">
        <v>829</v>
      </c>
      <c r="AL17" s="2">
        <v>876</v>
      </c>
      <c r="AM17" s="2">
        <v>923</v>
      </c>
      <c r="AN17" s="2">
        <v>970</v>
      </c>
      <c r="AO17" s="2">
        <v>1017</v>
      </c>
      <c r="AP17" s="2">
        <v>1065</v>
      </c>
      <c r="AQ17" s="2">
        <v>1113</v>
      </c>
      <c r="AR17" s="2">
        <v>1162</v>
      </c>
      <c r="AS17" s="2">
        <v>1212</v>
      </c>
      <c r="AT17" s="2">
        <v>1262</v>
      </c>
      <c r="AU17" s="2">
        <v>1313</v>
      </c>
      <c r="AV17" s="2">
        <v>1364</v>
      </c>
      <c r="AW17" s="2">
        <v>1418</v>
      </c>
      <c r="AX17" s="2">
        <v>1481</v>
      </c>
      <c r="AY17" s="2">
        <v>1545</v>
      </c>
      <c r="AZ17" s="2">
        <v>1611</v>
      </c>
      <c r="BA17" s="2">
        <v>1677</v>
      </c>
      <c r="BB17" s="2">
        <v>1745</v>
      </c>
      <c r="BC17" s="2">
        <v>1815</v>
      </c>
      <c r="BD17" s="2">
        <v>1886</v>
      </c>
      <c r="BE17" s="2">
        <v>1958</v>
      </c>
      <c r="BF17" s="2">
        <v>2044</v>
      </c>
    </row>
    <row r="18" spans="1:58" x14ac:dyDescent="0.2">
      <c r="A18" s="1">
        <v>16</v>
      </c>
      <c r="B18">
        <v>2.5</v>
      </c>
      <c r="C18">
        <v>5</v>
      </c>
      <c r="D18" s="2">
        <v>1</v>
      </c>
      <c r="E18" s="2">
        <v>2</v>
      </c>
      <c r="F18" s="2">
        <v>2</v>
      </c>
      <c r="G18" s="2"/>
      <c r="H18" s="2"/>
      <c r="I18" s="2">
        <v>5</v>
      </c>
      <c r="J18" s="2">
        <v>12</v>
      </c>
      <c r="K18" s="2">
        <v>21</v>
      </c>
      <c r="L18" s="2">
        <v>31</v>
      </c>
      <c r="M18" s="2">
        <v>42</v>
      </c>
      <c r="N18" s="2">
        <v>64</v>
      </c>
      <c r="O18" s="2">
        <v>89</v>
      </c>
      <c r="P18" s="2">
        <v>114</v>
      </c>
      <c r="Q18" s="2">
        <v>140</v>
      </c>
      <c r="R18" s="2">
        <v>166</v>
      </c>
      <c r="S18" s="2">
        <v>193</v>
      </c>
      <c r="T18" s="2">
        <v>222</v>
      </c>
      <c r="U18" s="2">
        <v>251</v>
      </c>
      <c r="V18" s="2">
        <v>282</v>
      </c>
      <c r="W18" s="2">
        <v>313</v>
      </c>
      <c r="X18" s="2">
        <v>344</v>
      </c>
      <c r="Y18" s="2">
        <v>375</v>
      </c>
      <c r="Z18" s="2">
        <v>408</v>
      </c>
      <c r="AA18" s="2">
        <v>441</v>
      </c>
      <c r="AB18" s="2">
        <v>476</v>
      </c>
      <c r="AC18" s="2">
        <v>512</v>
      </c>
      <c r="AD18" s="2">
        <v>554</v>
      </c>
      <c r="AE18" s="2">
        <v>597</v>
      </c>
      <c r="AF18" s="2">
        <v>642</v>
      </c>
      <c r="AG18" s="2">
        <v>687</v>
      </c>
      <c r="AH18" s="2">
        <v>734</v>
      </c>
      <c r="AI18" s="2">
        <v>781</v>
      </c>
      <c r="AJ18" s="2">
        <v>828</v>
      </c>
      <c r="AK18" s="2">
        <v>876</v>
      </c>
      <c r="AL18" s="2">
        <v>924</v>
      </c>
      <c r="AM18" s="2">
        <v>972</v>
      </c>
      <c r="AN18" s="2">
        <v>1021</v>
      </c>
      <c r="AO18" s="2">
        <v>1070</v>
      </c>
      <c r="AP18" s="2">
        <v>1119</v>
      </c>
      <c r="AQ18" s="2">
        <v>1169</v>
      </c>
      <c r="AR18" s="2">
        <v>1219</v>
      </c>
      <c r="AS18" s="2">
        <v>1270</v>
      </c>
      <c r="AT18" s="2">
        <v>1321</v>
      </c>
      <c r="AU18" s="2">
        <v>1374</v>
      </c>
      <c r="AV18" s="2">
        <v>1427</v>
      </c>
      <c r="AW18" s="2">
        <v>1483</v>
      </c>
      <c r="AX18" s="2">
        <v>1548</v>
      </c>
      <c r="AY18" s="2">
        <v>1614</v>
      </c>
      <c r="AZ18" s="2">
        <v>1681</v>
      </c>
      <c r="BA18" s="2">
        <v>1749</v>
      </c>
      <c r="BB18" s="2">
        <v>1819</v>
      </c>
      <c r="BC18" s="2">
        <v>1891</v>
      </c>
      <c r="BD18" s="2">
        <v>1964</v>
      </c>
      <c r="BE18" s="2">
        <v>2037</v>
      </c>
      <c r="BF18" s="2">
        <v>2125</v>
      </c>
    </row>
    <row r="19" spans="1:58" x14ac:dyDescent="0.2">
      <c r="A19" s="1">
        <v>17</v>
      </c>
      <c r="B19">
        <v>21.5</v>
      </c>
      <c r="C19">
        <v>25</v>
      </c>
      <c r="D19" s="2">
        <v>7</v>
      </c>
      <c r="E19" s="2">
        <v>7</v>
      </c>
      <c r="F19" s="2">
        <v>7</v>
      </c>
      <c r="G19" s="2"/>
      <c r="H19" s="2"/>
      <c r="I19" s="2">
        <v>2</v>
      </c>
      <c r="J19" s="2">
        <v>4</v>
      </c>
      <c r="K19" s="2">
        <v>6</v>
      </c>
      <c r="L19" s="2">
        <v>9</v>
      </c>
      <c r="M19" s="2">
        <v>12</v>
      </c>
      <c r="N19" s="2">
        <v>16</v>
      </c>
      <c r="O19" s="2">
        <v>21</v>
      </c>
      <c r="P19" s="2">
        <v>27</v>
      </c>
      <c r="Q19" s="2">
        <v>34</v>
      </c>
      <c r="R19" s="2">
        <v>42</v>
      </c>
      <c r="S19" s="2">
        <v>58</v>
      </c>
      <c r="T19" s="2">
        <v>74</v>
      </c>
      <c r="U19" s="2">
        <v>91</v>
      </c>
      <c r="V19" s="2">
        <v>109</v>
      </c>
      <c r="W19" s="2">
        <v>127</v>
      </c>
      <c r="X19" s="2">
        <v>147</v>
      </c>
      <c r="Y19" s="2">
        <v>168</v>
      </c>
      <c r="Z19" s="2">
        <v>189</v>
      </c>
      <c r="AA19" s="2">
        <v>210</v>
      </c>
      <c r="AB19" s="2">
        <v>232</v>
      </c>
      <c r="AC19" s="2">
        <v>254</v>
      </c>
      <c r="AD19" s="2">
        <v>277</v>
      </c>
      <c r="AE19" s="2">
        <v>300</v>
      </c>
      <c r="AF19" s="2">
        <v>324</v>
      </c>
      <c r="AG19" s="2">
        <v>349</v>
      </c>
      <c r="AH19" s="2">
        <v>374</v>
      </c>
      <c r="AI19" s="2">
        <v>401</v>
      </c>
      <c r="AJ19" s="2">
        <v>429</v>
      </c>
      <c r="AK19" s="2">
        <v>459</v>
      </c>
      <c r="AL19" s="2">
        <v>494</v>
      </c>
      <c r="AM19" s="2">
        <v>530</v>
      </c>
      <c r="AN19" s="2">
        <v>566</v>
      </c>
      <c r="AO19" s="2">
        <v>602</v>
      </c>
      <c r="AP19" s="2">
        <v>641</v>
      </c>
      <c r="AQ19" s="2">
        <v>680</v>
      </c>
      <c r="AR19" s="2">
        <v>719</v>
      </c>
      <c r="AS19" s="2">
        <v>759</v>
      </c>
      <c r="AT19" s="2">
        <v>800</v>
      </c>
      <c r="AU19" s="2">
        <v>841</v>
      </c>
      <c r="AV19" s="2">
        <v>885</v>
      </c>
      <c r="AW19" s="2">
        <v>931</v>
      </c>
      <c r="AX19" s="2">
        <v>978</v>
      </c>
      <c r="AY19" s="2">
        <v>1025</v>
      </c>
      <c r="AZ19" s="2">
        <v>1076</v>
      </c>
      <c r="BA19" s="2">
        <v>1128</v>
      </c>
      <c r="BB19" s="2">
        <v>1183</v>
      </c>
      <c r="BC19" s="2">
        <v>1238</v>
      </c>
      <c r="BD19" s="2">
        <v>1294</v>
      </c>
      <c r="BE19" s="2">
        <v>1350</v>
      </c>
      <c r="BF19" s="2">
        <v>1408</v>
      </c>
    </row>
    <row r="20" spans="1:58" x14ac:dyDescent="0.2">
      <c r="A20" s="1">
        <v>18</v>
      </c>
      <c r="B20">
        <v>22</v>
      </c>
      <c r="C20">
        <v>22.5</v>
      </c>
      <c r="D20" s="2">
        <v>6</v>
      </c>
      <c r="E20" s="2">
        <v>6</v>
      </c>
      <c r="F20" s="2">
        <v>7</v>
      </c>
      <c r="G20" s="2"/>
      <c r="H20" s="2"/>
      <c r="I20" s="2">
        <v>3</v>
      </c>
      <c r="J20" s="2">
        <v>6</v>
      </c>
      <c r="K20" s="2">
        <v>10</v>
      </c>
      <c r="L20" s="2">
        <v>15</v>
      </c>
      <c r="M20" s="2">
        <v>20</v>
      </c>
      <c r="N20" s="2">
        <v>25</v>
      </c>
      <c r="O20" s="2">
        <v>30</v>
      </c>
      <c r="P20" s="2">
        <v>35</v>
      </c>
      <c r="Q20" s="2">
        <v>42</v>
      </c>
      <c r="R20" s="2">
        <v>49</v>
      </c>
      <c r="S20" s="2">
        <v>64</v>
      </c>
      <c r="T20" s="2">
        <v>79</v>
      </c>
      <c r="U20" s="2">
        <v>96</v>
      </c>
      <c r="V20" s="2">
        <v>114</v>
      </c>
      <c r="W20" s="2">
        <v>132</v>
      </c>
      <c r="X20" s="2">
        <v>150</v>
      </c>
      <c r="Y20" s="2">
        <v>170</v>
      </c>
      <c r="Z20" s="2">
        <v>190</v>
      </c>
      <c r="AA20" s="2">
        <v>210</v>
      </c>
      <c r="AB20" s="2">
        <v>230</v>
      </c>
      <c r="AC20" s="2">
        <v>251</v>
      </c>
      <c r="AD20" s="2">
        <v>273</v>
      </c>
      <c r="AE20" s="2">
        <v>296</v>
      </c>
      <c r="AF20" s="2">
        <v>319</v>
      </c>
      <c r="AG20" s="2">
        <v>342</v>
      </c>
      <c r="AH20" s="2">
        <v>366</v>
      </c>
      <c r="AI20" s="2">
        <v>392</v>
      </c>
      <c r="AJ20" s="2">
        <v>419</v>
      </c>
      <c r="AK20" s="2">
        <v>450</v>
      </c>
      <c r="AL20" s="2">
        <v>481</v>
      </c>
      <c r="AM20" s="2">
        <v>513</v>
      </c>
      <c r="AN20" s="2">
        <v>545</v>
      </c>
      <c r="AO20" s="2">
        <v>578</v>
      </c>
      <c r="AP20" s="2">
        <v>612</v>
      </c>
      <c r="AQ20" s="2">
        <v>647</v>
      </c>
      <c r="AR20" s="2">
        <v>682</v>
      </c>
      <c r="AS20" s="2">
        <v>717</v>
      </c>
      <c r="AT20" s="2">
        <v>757</v>
      </c>
      <c r="AU20" s="2">
        <v>797</v>
      </c>
      <c r="AV20" s="2">
        <v>840</v>
      </c>
      <c r="AW20" s="2">
        <v>885</v>
      </c>
      <c r="AX20" s="2">
        <v>931</v>
      </c>
      <c r="AY20" s="2">
        <v>977</v>
      </c>
      <c r="AZ20" s="2">
        <v>1024</v>
      </c>
      <c r="BA20" s="2">
        <v>1072</v>
      </c>
      <c r="BB20" s="2">
        <v>1122</v>
      </c>
      <c r="BC20" s="2">
        <v>1172</v>
      </c>
      <c r="BD20" s="2">
        <v>1222</v>
      </c>
      <c r="BE20" s="2">
        <v>1277</v>
      </c>
      <c r="BF20" s="2">
        <v>1335</v>
      </c>
    </row>
    <row r="21" spans="1:58" x14ac:dyDescent="0.2">
      <c r="A21" s="1">
        <v>19</v>
      </c>
      <c r="B21">
        <v>24</v>
      </c>
      <c r="C21">
        <v>18</v>
      </c>
      <c r="D21" s="2">
        <v>8</v>
      </c>
      <c r="E21" s="2">
        <v>6</v>
      </c>
      <c r="F21" s="2">
        <v>7</v>
      </c>
      <c r="G21" s="2"/>
      <c r="H21" s="2"/>
      <c r="I21" s="2">
        <v>3</v>
      </c>
      <c r="J21" s="2">
        <v>6</v>
      </c>
      <c r="K21" s="2">
        <v>9</v>
      </c>
      <c r="L21" s="2">
        <v>14</v>
      </c>
      <c r="M21" s="2">
        <v>19</v>
      </c>
      <c r="N21" s="2">
        <v>24</v>
      </c>
      <c r="O21" s="2">
        <v>29</v>
      </c>
      <c r="P21" s="2">
        <v>34</v>
      </c>
      <c r="Q21" s="2">
        <v>41</v>
      </c>
      <c r="R21" s="2">
        <v>49</v>
      </c>
      <c r="S21" s="2">
        <v>64</v>
      </c>
      <c r="T21" s="2">
        <v>79</v>
      </c>
      <c r="U21" s="2">
        <v>96</v>
      </c>
      <c r="V21" s="2">
        <v>113</v>
      </c>
      <c r="W21" s="2">
        <v>131</v>
      </c>
      <c r="X21" s="2">
        <v>149</v>
      </c>
      <c r="Y21" s="2">
        <v>168</v>
      </c>
      <c r="Z21" s="2">
        <v>188</v>
      </c>
      <c r="AA21" s="2">
        <v>208</v>
      </c>
      <c r="AB21" s="2">
        <v>228</v>
      </c>
      <c r="AC21" s="2">
        <v>250</v>
      </c>
      <c r="AD21" s="2">
        <v>272</v>
      </c>
      <c r="AE21" s="2">
        <v>295</v>
      </c>
      <c r="AF21" s="2">
        <v>319</v>
      </c>
      <c r="AG21" s="2">
        <v>344</v>
      </c>
      <c r="AH21" s="2">
        <v>369</v>
      </c>
      <c r="AI21" s="2">
        <v>394</v>
      </c>
      <c r="AJ21" s="2">
        <v>422</v>
      </c>
      <c r="AK21" s="2">
        <v>451</v>
      </c>
      <c r="AL21" s="2">
        <v>482</v>
      </c>
      <c r="AM21" s="2">
        <v>515</v>
      </c>
      <c r="AN21" s="2">
        <v>548</v>
      </c>
      <c r="AO21" s="2">
        <v>582</v>
      </c>
      <c r="AP21" s="2">
        <v>616</v>
      </c>
      <c r="AQ21" s="2">
        <v>651</v>
      </c>
      <c r="AR21" s="2">
        <v>687</v>
      </c>
      <c r="AS21" s="2">
        <v>723</v>
      </c>
      <c r="AT21" s="2">
        <v>764</v>
      </c>
      <c r="AU21" s="2">
        <v>806</v>
      </c>
      <c r="AV21" s="2">
        <v>850</v>
      </c>
      <c r="AW21" s="2">
        <v>896</v>
      </c>
      <c r="AX21" s="2">
        <v>943</v>
      </c>
      <c r="AY21" s="2">
        <v>990</v>
      </c>
      <c r="AZ21" s="2">
        <v>1038</v>
      </c>
      <c r="BA21" s="2">
        <v>1088</v>
      </c>
      <c r="BB21" s="2">
        <v>1138</v>
      </c>
      <c r="BC21" s="2">
        <v>1188</v>
      </c>
      <c r="BD21" s="2">
        <v>1238</v>
      </c>
      <c r="BE21" s="2">
        <v>1294</v>
      </c>
      <c r="BF21" s="2">
        <v>1354</v>
      </c>
    </row>
    <row r="22" spans="1:58" x14ac:dyDescent="0.2">
      <c r="A22" s="1">
        <v>20</v>
      </c>
      <c r="B22">
        <v>23.5</v>
      </c>
      <c r="C22">
        <v>23.5</v>
      </c>
      <c r="D22" s="2">
        <v>7</v>
      </c>
      <c r="E22" s="2">
        <v>7</v>
      </c>
      <c r="F22" s="2">
        <v>6</v>
      </c>
      <c r="G22" s="2"/>
      <c r="H22" s="2"/>
      <c r="I22" s="2">
        <v>4</v>
      </c>
      <c r="J22" s="2">
        <v>9</v>
      </c>
      <c r="K22" s="2">
        <v>19</v>
      </c>
      <c r="L22" s="2">
        <v>29</v>
      </c>
      <c r="M22" s="2">
        <v>39</v>
      </c>
      <c r="N22" s="2">
        <v>64</v>
      </c>
      <c r="O22" s="2">
        <v>90</v>
      </c>
      <c r="P22" s="2">
        <v>116</v>
      </c>
      <c r="Q22" s="2">
        <v>143</v>
      </c>
      <c r="R22" s="2">
        <v>170</v>
      </c>
      <c r="S22" s="2">
        <v>197</v>
      </c>
      <c r="T22" s="2">
        <v>225</v>
      </c>
      <c r="U22" s="2">
        <v>253</v>
      </c>
      <c r="V22" s="2">
        <v>282</v>
      </c>
      <c r="W22" s="2">
        <v>312</v>
      </c>
      <c r="X22" s="2">
        <v>342</v>
      </c>
      <c r="Y22" s="2">
        <v>374</v>
      </c>
      <c r="Z22" s="2">
        <v>407</v>
      </c>
      <c r="AA22" s="2">
        <v>442</v>
      </c>
      <c r="AB22" s="2">
        <v>484</v>
      </c>
      <c r="AC22" s="2">
        <v>530</v>
      </c>
      <c r="AD22" s="2">
        <v>576</v>
      </c>
      <c r="AE22" s="2">
        <v>623</v>
      </c>
      <c r="AF22" s="2">
        <v>672</v>
      </c>
      <c r="AG22" s="2">
        <v>721</v>
      </c>
      <c r="AH22" s="2">
        <v>772</v>
      </c>
      <c r="AI22" s="2">
        <v>823</v>
      </c>
      <c r="AJ22" s="2">
        <v>875</v>
      </c>
      <c r="AK22" s="2">
        <v>928</v>
      </c>
      <c r="AL22" s="2">
        <v>983</v>
      </c>
      <c r="AM22" s="2">
        <v>1039</v>
      </c>
      <c r="AN22" s="2">
        <v>1095</v>
      </c>
      <c r="AO22" s="2">
        <v>1152</v>
      </c>
      <c r="AP22" s="2">
        <v>1211</v>
      </c>
      <c r="AQ22" s="2">
        <v>1271</v>
      </c>
      <c r="AR22" s="2">
        <v>1331</v>
      </c>
      <c r="AS22" s="2">
        <v>1391</v>
      </c>
      <c r="AT22" s="2">
        <v>1452</v>
      </c>
      <c r="AU22" s="2">
        <v>1513</v>
      </c>
      <c r="AV22" s="2">
        <v>1574</v>
      </c>
      <c r="AW22" s="2">
        <v>1637</v>
      </c>
      <c r="AX22" s="2">
        <v>1701</v>
      </c>
      <c r="AY22" s="2">
        <v>1765</v>
      </c>
      <c r="AZ22" s="2">
        <v>1830</v>
      </c>
      <c r="BA22" s="2">
        <v>1902</v>
      </c>
      <c r="BB22" s="2">
        <v>1980</v>
      </c>
      <c r="BC22" s="2">
        <v>2059</v>
      </c>
      <c r="BD22" s="2">
        <v>2140</v>
      </c>
      <c r="BE22" s="2">
        <v>2222</v>
      </c>
      <c r="BF22" s="2">
        <v>2304</v>
      </c>
    </row>
    <row r="23" spans="1:58" x14ac:dyDescent="0.2">
      <c r="A23" s="1">
        <v>21</v>
      </c>
      <c r="B23">
        <v>25</v>
      </c>
      <c r="C23">
        <v>23.5</v>
      </c>
      <c r="D23" s="2">
        <v>7</v>
      </c>
      <c r="E23" s="2">
        <v>7</v>
      </c>
      <c r="F23" s="2">
        <v>6</v>
      </c>
      <c r="G23" s="2"/>
      <c r="H23" s="2"/>
      <c r="I23" s="2">
        <v>6</v>
      </c>
      <c r="J23" s="2">
        <v>12</v>
      </c>
      <c r="K23" s="2">
        <v>22</v>
      </c>
      <c r="L23" s="2">
        <v>32</v>
      </c>
      <c r="M23" s="2">
        <v>42</v>
      </c>
      <c r="N23" s="2">
        <v>67</v>
      </c>
      <c r="O23" s="2">
        <v>93</v>
      </c>
      <c r="P23" s="2">
        <v>119</v>
      </c>
      <c r="Q23" s="2">
        <v>145</v>
      </c>
      <c r="R23" s="2">
        <v>172</v>
      </c>
      <c r="S23" s="2">
        <v>199</v>
      </c>
      <c r="T23" s="2">
        <v>227</v>
      </c>
      <c r="U23" s="2">
        <v>255</v>
      </c>
      <c r="V23" s="2">
        <v>284</v>
      </c>
      <c r="W23" s="2">
        <v>313</v>
      </c>
      <c r="X23" s="2">
        <v>343</v>
      </c>
      <c r="Y23" s="2">
        <v>375</v>
      </c>
      <c r="Z23" s="2">
        <v>408</v>
      </c>
      <c r="AA23" s="2">
        <v>444</v>
      </c>
      <c r="AB23" s="2">
        <v>485</v>
      </c>
      <c r="AC23" s="2">
        <v>529</v>
      </c>
      <c r="AD23" s="2">
        <v>574</v>
      </c>
      <c r="AE23" s="2">
        <v>620</v>
      </c>
      <c r="AF23" s="2">
        <v>668</v>
      </c>
      <c r="AG23" s="2">
        <v>717</v>
      </c>
      <c r="AH23" s="2">
        <v>767</v>
      </c>
      <c r="AI23" s="2">
        <v>817</v>
      </c>
      <c r="AJ23" s="2">
        <v>868</v>
      </c>
      <c r="AK23" s="2">
        <v>919</v>
      </c>
      <c r="AL23" s="2">
        <v>974</v>
      </c>
      <c r="AM23" s="2">
        <v>1030</v>
      </c>
      <c r="AN23" s="2">
        <v>1088</v>
      </c>
      <c r="AO23" s="2">
        <v>1146</v>
      </c>
      <c r="AP23" s="2">
        <v>1206</v>
      </c>
      <c r="AQ23" s="2">
        <v>1266</v>
      </c>
      <c r="AR23" s="2">
        <v>1327</v>
      </c>
      <c r="AS23" s="2">
        <v>1388</v>
      </c>
      <c r="AT23" s="2">
        <v>1449</v>
      </c>
      <c r="AU23" s="2">
        <v>1510</v>
      </c>
      <c r="AV23" s="2">
        <v>1572</v>
      </c>
      <c r="AW23" s="2">
        <v>1635</v>
      </c>
      <c r="AX23" s="2">
        <v>1699</v>
      </c>
      <c r="AY23" s="2">
        <v>1763</v>
      </c>
      <c r="AZ23" s="2">
        <v>1828</v>
      </c>
      <c r="BA23" s="2">
        <v>1900</v>
      </c>
      <c r="BB23" s="2">
        <v>1978</v>
      </c>
      <c r="BC23" s="2">
        <v>2056</v>
      </c>
      <c r="BD23" s="2">
        <v>2137</v>
      </c>
      <c r="BE23" s="2">
        <v>2218</v>
      </c>
      <c r="BF23" s="2">
        <v>2300</v>
      </c>
    </row>
    <row r="24" spans="1:58" x14ac:dyDescent="0.2">
      <c r="A24" s="1">
        <v>22</v>
      </c>
      <c r="B24">
        <v>23.5</v>
      </c>
      <c r="C24">
        <v>22</v>
      </c>
      <c r="D24" s="2">
        <v>7</v>
      </c>
      <c r="E24" s="2">
        <v>6</v>
      </c>
      <c r="F24" s="2">
        <v>6</v>
      </c>
      <c r="G24" s="2"/>
      <c r="H24" s="2"/>
      <c r="I24" s="2">
        <v>8</v>
      </c>
      <c r="J24" s="2">
        <v>17</v>
      </c>
      <c r="K24" s="2">
        <v>27</v>
      </c>
      <c r="L24" s="2">
        <v>38</v>
      </c>
      <c r="M24" s="2">
        <v>50</v>
      </c>
      <c r="N24" s="2">
        <v>75</v>
      </c>
      <c r="O24" s="2">
        <v>100</v>
      </c>
      <c r="P24" s="2">
        <v>125</v>
      </c>
      <c r="Q24" s="2">
        <v>151</v>
      </c>
      <c r="R24" s="2">
        <v>178</v>
      </c>
      <c r="S24" s="2">
        <v>205</v>
      </c>
      <c r="T24" s="2">
        <v>232</v>
      </c>
      <c r="U24" s="2">
        <v>260</v>
      </c>
      <c r="V24" s="2">
        <v>288</v>
      </c>
      <c r="W24" s="2">
        <v>318</v>
      </c>
      <c r="X24" s="2">
        <v>348</v>
      </c>
      <c r="Y24" s="2">
        <v>379</v>
      </c>
      <c r="Z24" s="2">
        <v>413</v>
      </c>
      <c r="AA24" s="2">
        <v>450</v>
      </c>
      <c r="AB24" s="2">
        <v>489</v>
      </c>
      <c r="AC24" s="2">
        <v>532</v>
      </c>
      <c r="AD24" s="2">
        <v>577</v>
      </c>
      <c r="AE24" s="2">
        <v>623</v>
      </c>
      <c r="AF24" s="2">
        <v>670</v>
      </c>
      <c r="AG24" s="2">
        <v>718</v>
      </c>
      <c r="AH24" s="2">
        <v>766</v>
      </c>
      <c r="AI24" s="2">
        <v>816</v>
      </c>
      <c r="AJ24" s="2">
        <v>866</v>
      </c>
      <c r="AK24" s="2">
        <v>916</v>
      </c>
      <c r="AL24" s="2">
        <v>969</v>
      </c>
      <c r="AM24" s="2">
        <v>1027</v>
      </c>
      <c r="AN24" s="2">
        <v>1086</v>
      </c>
      <c r="AO24" s="2">
        <v>1146</v>
      </c>
      <c r="AP24" s="2">
        <v>1206</v>
      </c>
      <c r="AQ24" s="2">
        <v>1267</v>
      </c>
      <c r="AR24" s="2">
        <v>1328</v>
      </c>
      <c r="AS24" s="2">
        <v>1390</v>
      </c>
      <c r="AT24" s="2">
        <v>1452</v>
      </c>
      <c r="AU24" s="2">
        <v>1515</v>
      </c>
      <c r="AV24" s="2">
        <v>1578</v>
      </c>
      <c r="AW24" s="2">
        <v>1642</v>
      </c>
      <c r="AX24" s="2">
        <v>1706</v>
      </c>
      <c r="AY24" s="2">
        <v>1770</v>
      </c>
      <c r="AZ24" s="2">
        <v>1835</v>
      </c>
      <c r="BA24" s="2">
        <v>1908</v>
      </c>
      <c r="BB24" s="2">
        <v>1985</v>
      </c>
      <c r="BC24" s="2">
        <v>2064</v>
      </c>
      <c r="BD24" s="2">
        <v>2144</v>
      </c>
      <c r="BE24" s="2">
        <v>2225</v>
      </c>
      <c r="BF24" s="2">
        <v>2306</v>
      </c>
    </row>
    <row r="25" spans="1:58" x14ac:dyDescent="0.2">
      <c r="A25" s="1">
        <v>23</v>
      </c>
      <c r="B25">
        <v>24.5</v>
      </c>
      <c r="C25">
        <v>24.5</v>
      </c>
      <c r="D25" s="2">
        <v>9</v>
      </c>
      <c r="E25" s="2">
        <v>8</v>
      </c>
      <c r="F25" s="2">
        <v>7</v>
      </c>
      <c r="G25" s="2"/>
      <c r="H25" s="2"/>
      <c r="I25" s="2">
        <v>2</v>
      </c>
      <c r="J25" s="2">
        <v>5</v>
      </c>
      <c r="K25" s="2">
        <v>10</v>
      </c>
      <c r="L25" s="2">
        <v>20</v>
      </c>
      <c r="M25" s="2">
        <v>35</v>
      </c>
      <c r="N25" s="2">
        <v>50</v>
      </c>
      <c r="O25" s="2">
        <v>67</v>
      </c>
      <c r="P25" s="2">
        <v>84</v>
      </c>
      <c r="Q25" s="2">
        <v>101</v>
      </c>
      <c r="R25" s="2">
        <v>119</v>
      </c>
      <c r="S25" s="2">
        <v>138</v>
      </c>
      <c r="T25" s="2">
        <v>158</v>
      </c>
      <c r="U25" s="2">
        <v>178</v>
      </c>
      <c r="V25" s="2">
        <v>199</v>
      </c>
      <c r="W25" s="2">
        <v>221</v>
      </c>
      <c r="X25" s="2">
        <v>245</v>
      </c>
      <c r="Y25" s="2">
        <v>270</v>
      </c>
      <c r="Z25" s="2">
        <v>295</v>
      </c>
      <c r="AA25" s="2">
        <v>320</v>
      </c>
      <c r="AB25" s="2">
        <v>348</v>
      </c>
      <c r="AC25" s="2">
        <v>377</v>
      </c>
      <c r="AD25" s="2">
        <v>407</v>
      </c>
      <c r="AE25" s="2">
        <v>439</v>
      </c>
      <c r="AF25" s="2">
        <v>472</v>
      </c>
      <c r="AG25" s="2">
        <v>505</v>
      </c>
      <c r="AH25" s="2">
        <v>538</v>
      </c>
      <c r="AI25" s="2">
        <v>572</v>
      </c>
      <c r="AJ25" s="2">
        <v>606</v>
      </c>
      <c r="AK25" s="2">
        <v>640</v>
      </c>
      <c r="AL25" s="2">
        <v>675</v>
      </c>
      <c r="AM25" s="2">
        <v>710</v>
      </c>
      <c r="AN25" s="2">
        <v>746</v>
      </c>
      <c r="AO25" s="2">
        <v>783</v>
      </c>
      <c r="AP25" s="2">
        <v>821</v>
      </c>
      <c r="AQ25" s="2">
        <v>859</v>
      </c>
      <c r="AR25" s="2">
        <v>898</v>
      </c>
      <c r="AS25" s="2">
        <v>938</v>
      </c>
      <c r="AT25" s="2">
        <v>978</v>
      </c>
      <c r="AU25" s="2">
        <v>1019</v>
      </c>
      <c r="AV25" s="2">
        <v>1060</v>
      </c>
      <c r="AW25" s="2">
        <v>1101</v>
      </c>
      <c r="AX25" s="2">
        <v>1145</v>
      </c>
      <c r="AY25" s="2">
        <v>1190</v>
      </c>
      <c r="AZ25" s="2">
        <v>1237</v>
      </c>
      <c r="BA25" s="2">
        <v>1288</v>
      </c>
      <c r="BB25" s="2">
        <v>1340</v>
      </c>
      <c r="BC25" s="2">
        <v>1400</v>
      </c>
      <c r="BD25" s="2">
        <v>1461</v>
      </c>
      <c r="BE25" s="2">
        <v>1522</v>
      </c>
      <c r="BF25" s="2">
        <v>1584</v>
      </c>
    </row>
    <row r="26" spans="1:58" x14ac:dyDescent="0.2">
      <c r="A26" s="1">
        <v>24</v>
      </c>
      <c r="B26">
        <v>24.5</v>
      </c>
      <c r="C26">
        <v>25</v>
      </c>
      <c r="D26" s="2">
        <v>7</v>
      </c>
      <c r="E26" s="2">
        <v>9</v>
      </c>
      <c r="F26" s="2">
        <v>8</v>
      </c>
      <c r="G26" s="2"/>
      <c r="H26" s="2"/>
      <c r="I26" s="2">
        <v>3</v>
      </c>
      <c r="J26" s="2">
        <v>8</v>
      </c>
      <c r="K26" s="2">
        <v>13</v>
      </c>
      <c r="L26" s="2">
        <v>18</v>
      </c>
      <c r="M26" s="2">
        <v>33</v>
      </c>
      <c r="N26" s="2">
        <v>48</v>
      </c>
      <c r="O26" s="2">
        <v>65</v>
      </c>
      <c r="P26" s="2">
        <v>82</v>
      </c>
      <c r="Q26" s="2">
        <v>102</v>
      </c>
      <c r="R26" s="2">
        <v>122</v>
      </c>
      <c r="S26" s="2">
        <v>143</v>
      </c>
      <c r="T26" s="2">
        <v>165</v>
      </c>
      <c r="U26" s="2">
        <v>187</v>
      </c>
      <c r="V26" s="2">
        <v>210</v>
      </c>
      <c r="W26" s="2">
        <v>234</v>
      </c>
      <c r="X26" s="2">
        <v>259</v>
      </c>
      <c r="Y26" s="2">
        <v>284</v>
      </c>
      <c r="Z26" s="2">
        <v>309</v>
      </c>
      <c r="AA26" s="2">
        <v>334</v>
      </c>
      <c r="AB26" s="2">
        <v>360</v>
      </c>
      <c r="AC26" s="2">
        <v>386</v>
      </c>
      <c r="AD26" s="2">
        <v>415</v>
      </c>
      <c r="AE26" s="2">
        <v>444</v>
      </c>
      <c r="AF26" s="2">
        <v>473</v>
      </c>
      <c r="AG26" s="2">
        <v>502</v>
      </c>
      <c r="AH26" s="2">
        <v>532</v>
      </c>
      <c r="AI26" s="2">
        <v>562</v>
      </c>
      <c r="AJ26" s="2">
        <v>592</v>
      </c>
      <c r="AK26" s="2">
        <v>623</v>
      </c>
      <c r="AL26" s="2">
        <v>654</v>
      </c>
      <c r="AM26" s="2">
        <v>686</v>
      </c>
      <c r="AN26" s="2">
        <v>718</v>
      </c>
      <c r="AO26" s="2">
        <v>751</v>
      </c>
      <c r="AP26" s="2">
        <v>784</v>
      </c>
      <c r="AQ26" s="2">
        <v>818</v>
      </c>
      <c r="AR26" s="2">
        <v>853</v>
      </c>
      <c r="AS26" s="2">
        <v>890</v>
      </c>
      <c r="AT26" s="2">
        <v>927</v>
      </c>
      <c r="AU26" s="2">
        <v>965</v>
      </c>
      <c r="AV26" s="2">
        <v>1005</v>
      </c>
      <c r="AW26" s="2">
        <v>1045</v>
      </c>
      <c r="AX26" s="2">
        <v>1085</v>
      </c>
      <c r="AY26" s="2">
        <v>1128</v>
      </c>
      <c r="AZ26" s="2">
        <v>1174</v>
      </c>
      <c r="BA26" s="2">
        <v>1220</v>
      </c>
      <c r="BB26" s="2">
        <v>1270</v>
      </c>
      <c r="BC26" s="2">
        <v>1325</v>
      </c>
      <c r="BD26" s="2">
        <v>1382</v>
      </c>
      <c r="BE26" s="2">
        <v>1439</v>
      </c>
      <c r="BF26" s="2">
        <v>1497</v>
      </c>
    </row>
    <row r="27" spans="1:58" x14ac:dyDescent="0.2">
      <c r="A27" s="1">
        <v>25</v>
      </c>
      <c r="B27">
        <v>25</v>
      </c>
      <c r="C27">
        <v>25</v>
      </c>
      <c r="D27" s="2">
        <v>7</v>
      </c>
      <c r="E27" s="2">
        <v>7</v>
      </c>
      <c r="F27" s="2">
        <v>9</v>
      </c>
      <c r="G27" s="2"/>
      <c r="H27" s="2"/>
      <c r="I27" s="2">
        <v>3</v>
      </c>
      <c r="J27" s="2">
        <v>8</v>
      </c>
      <c r="K27" s="2">
        <v>18</v>
      </c>
      <c r="L27" s="2">
        <v>28</v>
      </c>
      <c r="M27" s="2">
        <v>45</v>
      </c>
      <c r="N27" s="2">
        <v>62</v>
      </c>
      <c r="O27" s="2">
        <v>80</v>
      </c>
      <c r="P27" s="2">
        <v>98</v>
      </c>
      <c r="Q27" s="2">
        <v>119</v>
      </c>
      <c r="R27" s="2">
        <v>140</v>
      </c>
      <c r="S27" s="2">
        <v>162</v>
      </c>
      <c r="T27" s="2">
        <v>184</v>
      </c>
      <c r="U27" s="2">
        <v>206</v>
      </c>
      <c r="V27" s="2">
        <v>230</v>
      </c>
      <c r="W27" s="2">
        <v>255</v>
      </c>
      <c r="X27" s="2">
        <v>280</v>
      </c>
      <c r="Y27" s="2">
        <v>305</v>
      </c>
      <c r="Z27" s="2">
        <v>331</v>
      </c>
      <c r="AA27" s="2">
        <v>357</v>
      </c>
      <c r="AB27" s="2">
        <v>383</v>
      </c>
      <c r="AC27" s="2">
        <v>409</v>
      </c>
      <c r="AD27" s="2">
        <v>435</v>
      </c>
      <c r="AE27" s="2">
        <v>461</v>
      </c>
      <c r="AF27" s="2">
        <v>487</v>
      </c>
      <c r="AG27" s="2">
        <v>513</v>
      </c>
      <c r="AH27" s="2">
        <v>539</v>
      </c>
      <c r="AI27" s="2">
        <v>566</v>
      </c>
      <c r="AJ27" s="2">
        <v>593</v>
      </c>
      <c r="AK27" s="2">
        <v>622</v>
      </c>
      <c r="AL27" s="2">
        <v>651</v>
      </c>
      <c r="AM27" s="2">
        <v>680</v>
      </c>
      <c r="AN27" s="2">
        <v>710</v>
      </c>
      <c r="AO27" s="2">
        <v>740</v>
      </c>
      <c r="AP27" s="2">
        <v>771</v>
      </c>
      <c r="AQ27" s="2">
        <v>802</v>
      </c>
      <c r="AR27" s="2">
        <v>834</v>
      </c>
      <c r="AS27" s="2">
        <v>866</v>
      </c>
      <c r="AT27" s="2">
        <v>901</v>
      </c>
      <c r="AU27" s="2">
        <v>936</v>
      </c>
      <c r="AV27" s="2">
        <v>974</v>
      </c>
      <c r="AW27" s="2">
        <v>1014</v>
      </c>
      <c r="AX27" s="2">
        <v>1054</v>
      </c>
      <c r="AY27" s="2">
        <v>1095</v>
      </c>
      <c r="AZ27" s="2">
        <v>1137</v>
      </c>
      <c r="BA27" s="2">
        <v>1182</v>
      </c>
      <c r="BB27" s="2">
        <v>1232</v>
      </c>
      <c r="BC27" s="2">
        <v>1283</v>
      </c>
      <c r="BD27" s="2">
        <v>1336</v>
      </c>
      <c r="BE27" s="2">
        <v>1389</v>
      </c>
      <c r="BF27" s="2">
        <v>1443</v>
      </c>
    </row>
    <row r="28" spans="1:58" x14ac:dyDescent="0.2">
      <c r="A28" s="1">
        <v>26</v>
      </c>
      <c r="B28">
        <v>24.5</v>
      </c>
      <c r="C28">
        <v>25</v>
      </c>
      <c r="D28" s="2">
        <v>8</v>
      </c>
      <c r="E28" s="2">
        <v>8</v>
      </c>
      <c r="F28" s="2">
        <v>6</v>
      </c>
      <c r="G28" s="2"/>
      <c r="H28" s="2"/>
      <c r="I28" s="2">
        <v>1</v>
      </c>
      <c r="J28" s="2">
        <v>8</v>
      </c>
      <c r="K28" s="2">
        <v>18</v>
      </c>
      <c r="L28" s="2">
        <v>29</v>
      </c>
      <c r="M28" s="2">
        <v>44</v>
      </c>
      <c r="N28" s="2">
        <v>59</v>
      </c>
      <c r="O28" s="2">
        <v>75</v>
      </c>
      <c r="P28" s="2">
        <v>92</v>
      </c>
      <c r="Q28" s="2">
        <v>111</v>
      </c>
      <c r="R28" s="2">
        <v>131</v>
      </c>
      <c r="S28" s="2">
        <v>151</v>
      </c>
      <c r="T28" s="2">
        <v>173</v>
      </c>
      <c r="U28" s="2">
        <v>195</v>
      </c>
      <c r="V28" s="2">
        <v>218</v>
      </c>
      <c r="W28" s="2">
        <v>241</v>
      </c>
      <c r="X28" s="2">
        <v>264</v>
      </c>
      <c r="Y28" s="2">
        <v>289</v>
      </c>
      <c r="Z28" s="2">
        <v>314</v>
      </c>
      <c r="AA28" s="2">
        <v>339</v>
      </c>
      <c r="AB28" s="2">
        <v>364</v>
      </c>
      <c r="AC28" s="2">
        <v>389</v>
      </c>
      <c r="AD28" s="2">
        <v>415</v>
      </c>
      <c r="AE28" s="2">
        <v>441</v>
      </c>
      <c r="AF28" s="2">
        <v>467</v>
      </c>
      <c r="AG28" s="2">
        <v>494</v>
      </c>
      <c r="AH28" s="2">
        <v>521</v>
      </c>
      <c r="AI28" s="2">
        <v>548</v>
      </c>
      <c r="AJ28" s="2">
        <v>576</v>
      </c>
      <c r="AK28" s="2">
        <v>604</v>
      </c>
      <c r="AL28" s="2">
        <v>632</v>
      </c>
      <c r="AM28" s="2">
        <v>660</v>
      </c>
      <c r="AN28" s="2">
        <v>689</v>
      </c>
      <c r="AO28" s="2">
        <v>718</v>
      </c>
      <c r="AP28" s="2">
        <v>748</v>
      </c>
      <c r="AQ28" s="2">
        <v>778</v>
      </c>
      <c r="AR28" s="2">
        <v>809</v>
      </c>
      <c r="AS28" s="2">
        <v>840</v>
      </c>
      <c r="AT28" s="2">
        <v>875</v>
      </c>
      <c r="AU28" s="2">
        <v>911</v>
      </c>
      <c r="AV28" s="2">
        <v>949</v>
      </c>
      <c r="AW28" s="2">
        <v>987</v>
      </c>
      <c r="AX28" s="2">
        <v>1027</v>
      </c>
      <c r="AY28" s="2">
        <v>1067</v>
      </c>
      <c r="AZ28" s="2">
        <v>1109</v>
      </c>
      <c r="BA28" s="2">
        <v>1152</v>
      </c>
      <c r="BB28" s="2">
        <v>1200</v>
      </c>
      <c r="BC28" s="2">
        <v>1250</v>
      </c>
      <c r="BD28" s="2">
        <v>1301</v>
      </c>
      <c r="BE28" s="2">
        <v>1352</v>
      </c>
      <c r="BF28" s="2">
        <v>1405</v>
      </c>
    </row>
    <row r="29" spans="1:58" x14ac:dyDescent="0.2">
      <c r="A29" s="1">
        <v>27</v>
      </c>
      <c r="B29">
        <v>24.5</v>
      </c>
      <c r="C29">
        <v>24.5</v>
      </c>
      <c r="D29" s="2">
        <v>10</v>
      </c>
      <c r="E29" s="2">
        <v>7</v>
      </c>
      <c r="F29" s="2">
        <v>7</v>
      </c>
      <c r="G29" s="2"/>
      <c r="H29" s="2"/>
      <c r="I29" s="2">
        <v>5</v>
      </c>
      <c r="J29" s="2">
        <v>10</v>
      </c>
      <c r="K29" s="2">
        <v>16</v>
      </c>
      <c r="L29" s="2">
        <v>23</v>
      </c>
      <c r="M29" s="2">
        <v>35</v>
      </c>
      <c r="N29" s="2">
        <v>48</v>
      </c>
      <c r="O29" s="2">
        <v>62</v>
      </c>
      <c r="P29" s="2">
        <v>76</v>
      </c>
      <c r="Q29" s="2">
        <v>93</v>
      </c>
      <c r="R29" s="2">
        <v>110</v>
      </c>
      <c r="S29" s="2">
        <v>129</v>
      </c>
      <c r="T29" s="2">
        <v>149</v>
      </c>
      <c r="U29" s="2">
        <v>170</v>
      </c>
      <c r="V29" s="2">
        <v>191</v>
      </c>
      <c r="W29" s="2">
        <v>212</v>
      </c>
      <c r="X29" s="2">
        <v>234</v>
      </c>
      <c r="Y29" s="2">
        <v>256</v>
      </c>
      <c r="Z29" s="2">
        <v>278</v>
      </c>
      <c r="AA29" s="2">
        <v>303</v>
      </c>
      <c r="AB29" s="2">
        <v>329</v>
      </c>
      <c r="AC29" s="2">
        <v>355</v>
      </c>
      <c r="AD29" s="2">
        <v>382</v>
      </c>
      <c r="AE29" s="2">
        <v>410</v>
      </c>
      <c r="AF29" s="2">
        <v>439</v>
      </c>
      <c r="AG29" s="2">
        <v>468</v>
      </c>
      <c r="AH29" s="2">
        <v>498</v>
      </c>
      <c r="AI29" s="2">
        <v>528</v>
      </c>
      <c r="AJ29" s="2">
        <v>558</v>
      </c>
      <c r="AK29" s="2">
        <v>588</v>
      </c>
      <c r="AL29" s="2">
        <v>619</v>
      </c>
      <c r="AM29" s="2">
        <v>651</v>
      </c>
      <c r="AN29" s="2">
        <v>683</v>
      </c>
      <c r="AO29" s="2">
        <v>715</v>
      </c>
      <c r="AP29" s="2">
        <v>748</v>
      </c>
      <c r="AQ29" s="2">
        <v>781</v>
      </c>
      <c r="AR29" s="2">
        <v>815</v>
      </c>
      <c r="AS29" s="2">
        <v>851</v>
      </c>
      <c r="AT29" s="2">
        <v>887</v>
      </c>
      <c r="AU29" s="2">
        <v>924</v>
      </c>
      <c r="AV29" s="2">
        <v>961</v>
      </c>
      <c r="AW29" s="2">
        <v>1001</v>
      </c>
      <c r="AX29" s="2">
        <v>1042</v>
      </c>
      <c r="AY29" s="2">
        <v>1083</v>
      </c>
      <c r="AZ29" s="2">
        <v>1126</v>
      </c>
      <c r="BA29" s="2">
        <v>1173</v>
      </c>
      <c r="BB29" s="2">
        <v>1221</v>
      </c>
      <c r="BC29" s="2">
        <v>1275</v>
      </c>
      <c r="BD29" s="2">
        <v>1330</v>
      </c>
      <c r="BE29" s="2">
        <v>1385</v>
      </c>
      <c r="BF29" s="2">
        <v>1441</v>
      </c>
    </row>
    <row r="30" spans="1:58" x14ac:dyDescent="0.2">
      <c r="A30" s="1">
        <v>28</v>
      </c>
      <c r="B30">
        <v>24.5</v>
      </c>
      <c r="C30">
        <v>24.5</v>
      </c>
      <c r="D30" s="2">
        <v>7</v>
      </c>
      <c r="E30" s="2">
        <v>7</v>
      </c>
      <c r="F30" s="2">
        <v>7</v>
      </c>
      <c r="G30" s="2"/>
      <c r="H30" s="2"/>
      <c r="I30" s="2">
        <v>3</v>
      </c>
      <c r="J30" s="2">
        <v>11</v>
      </c>
      <c r="K30" s="2">
        <v>20</v>
      </c>
      <c r="L30" s="2">
        <v>30</v>
      </c>
      <c r="M30" s="2">
        <v>40</v>
      </c>
      <c r="N30" s="2">
        <v>50</v>
      </c>
      <c r="O30" s="2">
        <v>62</v>
      </c>
      <c r="P30" s="2">
        <v>75</v>
      </c>
      <c r="Q30" s="2">
        <v>90</v>
      </c>
      <c r="R30" s="2">
        <v>105</v>
      </c>
      <c r="S30" s="2">
        <v>120</v>
      </c>
      <c r="T30" s="2">
        <v>135</v>
      </c>
      <c r="U30" s="2">
        <v>151</v>
      </c>
      <c r="V30" s="2">
        <v>168</v>
      </c>
      <c r="W30" s="2">
        <v>187</v>
      </c>
      <c r="X30" s="2">
        <v>207</v>
      </c>
      <c r="Y30" s="2">
        <v>227</v>
      </c>
      <c r="Z30" s="2">
        <v>247</v>
      </c>
      <c r="AA30" s="2">
        <v>272</v>
      </c>
      <c r="AB30" s="2">
        <v>297</v>
      </c>
      <c r="AC30" s="2">
        <v>325</v>
      </c>
      <c r="AD30" s="2">
        <v>355</v>
      </c>
      <c r="AE30" s="2">
        <v>386</v>
      </c>
      <c r="AF30" s="2">
        <v>418</v>
      </c>
      <c r="AG30" s="2">
        <v>450</v>
      </c>
      <c r="AH30" s="2">
        <v>482</v>
      </c>
      <c r="AI30" s="2">
        <v>515</v>
      </c>
      <c r="AJ30" s="2">
        <v>550</v>
      </c>
      <c r="AK30" s="2">
        <v>585</v>
      </c>
      <c r="AL30" s="2">
        <v>621</v>
      </c>
      <c r="AM30" s="2">
        <v>657</v>
      </c>
      <c r="AN30" s="2">
        <v>693</v>
      </c>
      <c r="AO30" s="2">
        <v>729</v>
      </c>
      <c r="AP30" s="2">
        <v>766</v>
      </c>
      <c r="AQ30" s="2">
        <v>803</v>
      </c>
      <c r="AR30" s="2">
        <v>840</v>
      </c>
      <c r="AS30" s="2">
        <v>878</v>
      </c>
      <c r="AT30" s="2">
        <v>917</v>
      </c>
      <c r="AU30" s="2">
        <v>956</v>
      </c>
      <c r="AV30" s="2">
        <v>996</v>
      </c>
      <c r="AW30" s="2">
        <v>1036</v>
      </c>
      <c r="AX30" s="2">
        <v>1078</v>
      </c>
      <c r="AY30" s="2">
        <v>1121</v>
      </c>
      <c r="AZ30" s="2">
        <v>1167</v>
      </c>
      <c r="BA30" s="2">
        <v>1214</v>
      </c>
      <c r="BB30" s="2">
        <v>1266</v>
      </c>
      <c r="BC30" s="2">
        <v>1324</v>
      </c>
      <c r="BD30" s="2">
        <v>1382</v>
      </c>
      <c r="BE30" s="2">
        <v>1441</v>
      </c>
      <c r="BF30" s="2">
        <v>1501</v>
      </c>
    </row>
    <row r="31" spans="1:58" x14ac:dyDescent="0.2">
      <c r="A31" s="1">
        <v>29</v>
      </c>
      <c r="B31">
        <v>25</v>
      </c>
      <c r="C31">
        <v>25</v>
      </c>
      <c r="D31" s="2">
        <v>8</v>
      </c>
      <c r="E31" s="2">
        <v>9</v>
      </c>
      <c r="F31" s="2">
        <v>9</v>
      </c>
      <c r="G31" s="2"/>
      <c r="H31" s="2"/>
      <c r="I31" s="2">
        <v>5</v>
      </c>
      <c r="J31" s="2">
        <v>10</v>
      </c>
      <c r="K31" s="2">
        <v>18</v>
      </c>
      <c r="L31" s="2">
        <v>27</v>
      </c>
      <c r="M31" s="2">
        <v>37</v>
      </c>
      <c r="N31" s="2">
        <v>48</v>
      </c>
      <c r="O31" s="2">
        <v>60</v>
      </c>
      <c r="P31" s="2">
        <v>72</v>
      </c>
      <c r="Q31" s="2">
        <v>87</v>
      </c>
      <c r="R31" s="2">
        <v>102</v>
      </c>
      <c r="S31" s="2">
        <v>119</v>
      </c>
      <c r="T31" s="2">
        <v>138</v>
      </c>
      <c r="U31" s="2">
        <v>158</v>
      </c>
      <c r="V31" s="2">
        <v>178</v>
      </c>
      <c r="W31" s="2">
        <v>198</v>
      </c>
      <c r="X31" s="2">
        <v>218</v>
      </c>
      <c r="Y31" s="2">
        <v>239</v>
      </c>
      <c r="Z31" s="2">
        <v>260</v>
      </c>
      <c r="AA31" s="2">
        <v>285</v>
      </c>
      <c r="AB31" s="2">
        <v>310</v>
      </c>
      <c r="AC31" s="2">
        <v>336</v>
      </c>
      <c r="AD31" s="2">
        <v>363</v>
      </c>
      <c r="AE31" s="2">
        <v>391</v>
      </c>
      <c r="AF31" s="2">
        <v>419</v>
      </c>
      <c r="AG31" s="2">
        <v>448</v>
      </c>
      <c r="AH31" s="2">
        <v>477</v>
      </c>
      <c r="AI31" s="2">
        <v>507</v>
      </c>
      <c r="AJ31" s="2">
        <v>537</v>
      </c>
      <c r="AK31" s="2">
        <v>568</v>
      </c>
      <c r="AL31" s="2">
        <v>600</v>
      </c>
      <c r="AM31" s="2">
        <v>632</v>
      </c>
      <c r="AN31" s="2">
        <v>665</v>
      </c>
      <c r="AO31" s="2">
        <v>698</v>
      </c>
      <c r="AP31" s="2">
        <v>731</v>
      </c>
      <c r="AQ31" s="2">
        <v>764</v>
      </c>
      <c r="AR31" s="2">
        <v>798</v>
      </c>
      <c r="AS31" s="2">
        <v>833</v>
      </c>
      <c r="AT31" s="2">
        <v>868</v>
      </c>
      <c r="AU31" s="2">
        <v>903</v>
      </c>
      <c r="AV31" s="2">
        <v>938</v>
      </c>
      <c r="AW31" s="2">
        <v>976</v>
      </c>
      <c r="AX31" s="2">
        <v>1017</v>
      </c>
      <c r="AY31" s="2">
        <v>1059</v>
      </c>
      <c r="AZ31" s="2">
        <v>1102</v>
      </c>
      <c r="BA31" s="2">
        <v>1148</v>
      </c>
      <c r="BB31" s="2">
        <v>1196</v>
      </c>
      <c r="BC31" s="2">
        <v>1249</v>
      </c>
      <c r="BD31" s="2">
        <v>1303</v>
      </c>
      <c r="BE31" s="2">
        <v>1358</v>
      </c>
      <c r="BF31" s="2">
        <v>1413</v>
      </c>
    </row>
    <row r="32" spans="1:58" x14ac:dyDescent="0.2">
      <c r="A32" s="1">
        <v>30</v>
      </c>
      <c r="B32">
        <v>0</v>
      </c>
      <c r="C32">
        <v>0</v>
      </c>
      <c r="D32" s="2">
        <v>0</v>
      </c>
      <c r="E32" s="2">
        <v>0</v>
      </c>
      <c r="F32" s="2">
        <v>0</v>
      </c>
      <c r="G32" s="2"/>
      <c r="H32" s="2"/>
      <c r="I32" s="2">
        <v>8</v>
      </c>
      <c r="J32" s="2">
        <v>41</v>
      </c>
      <c r="K32" s="2">
        <v>78</v>
      </c>
      <c r="L32" s="2">
        <v>117</v>
      </c>
      <c r="M32" s="2">
        <v>157</v>
      </c>
      <c r="N32" s="2">
        <v>199</v>
      </c>
      <c r="O32" s="2">
        <v>241</v>
      </c>
      <c r="P32" s="2">
        <v>283</v>
      </c>
      <c r="Q32" s="2">
        <v>325</v>
      </c>
      <c r="R32" s="2">
        <v>372</v>
      </c>
      <c r="S32" s="2">
        <v>421</v>
      </c>
      <c r="T32" s="2">
        <v>476</v>
      </c>
      <c r="U32" s="2">
        <v>532</v>
      </c>
      <c r="V32" s="2">
        <v>588</v>
      </c>
      <c r="W32" s="2">
        <v>645</v>
      </c>
      <c r="X32" s="2">
        <v>703</v>
      </c>
      <c r="Y32" s="2">
        <v>761</v>
      </c>
      <c r="Z32" s="2">
        <v>820</v>
      </c>
      <c r="AA32" s="2">
        <v>880</v>
      </c>
      <c r="AB32" s="2">
        <v>940</v>
      </c>
      <c r="AC32" s="2">
        <v>1002</v>
      </c>
      <c r="AD32" s="2">
        <v>1064</v>
      </c>
      <c r="AE32" s="2">
        <v>1127</v>
      </c>
      <c r="AF32" s="2">
        <v>1192</v>
      </c>
      <c r="AG32" s="2">
        <v>1257</v>
      </c>
      <c r="AH32" s="2">
        <v>1322</v>
      </c>
      <c r="AI32" s="2">
        <v>1387</v>
      </c>
      <c r="AJ32" s="2">
        <v>1454</v>
      </c>
      <c r="AK32" s="2">
        <v>1521</v>
      </c>
      <c r="AL32" s="2">
        <v>1589</v>
      </c>
      <c r="AM32" s="2">
        <v>1658</v>
      </c>
      <c r="AN32" s="2">
        <v>1727</v>
      </c>
      <c r="AO32" s="2">
        <v>1796</v>
      </c>
      <c r="AP32" s="2">
        <v>1866</v>
      </c>
      <c r="AQ32" s="2">
        <v>1936</v>
      </c>
      <c r="AR32" s="2">
        <v>2007</v>
      </c>
      <c r="AS32" s="2">
        <v>2078</v>
      </c>
      <c r="AT32" s="2">
        <v>2150</v>
      </c>
      <c r="AU32" s="2">
        <v>2224</v>
      </c>
      <c r="AV32" s="2">
        <v>2299</v>
      </c>
      <c r="AW32" s="2">
        <v>2376</v>
      </c>
      <c r="AX32" s="2">
        <v>2461</v>
      </c>
      <c r="AY32" s="2">
        <v>2546</v>
      </c>
      <c r="AZ32" s="2">
        <v>2634</v>
      </c>
      <c r="BA32" s="2">
        <v>2723</v>
      </c>
      <c r="BB32" s="2">
        <v>2814</v>
      </c>
      <c r="BC32" s="2">
        <v>2905</v>
      </c>
      <c r="BD32" s="2">
        <v>2998</v>
      </c>
      <c r="BE32" s="2">
        <v>3092</v>
      </c>
      <c r="BF32" s="2">
        <v>3188</v>
      </c>
    </row>
    <row r="33" spans="1:58" x14ac:dyDescent="0.2">
      <c r="A33" s="1">
        <v>31</v>
      </c>
      <c r="B33">
        <v>0</v>
      </c>
      <c r="C33">
        <v>0</v>
      </c>
      <c r="D33" s="2">
        <v>0</v>
      </c>
      <c r="E33" s="2">
        <v>0</v>
      </c>
      <c r="F33" s="2">
        <v>0</v>
      </c>
      <c r="G33" s="2"/>
      <c r="H33" s="2"/>
      <c r="I33" s="2">
        <v>7</v>
      </c>
      <c r="J33" s="2">
        <v>37</v>
      </c>
      <c r="K33" s="2">
        <v>70</v>
      </c>
      <c r="L33" s="2">
        <v>106</v>
      </c>
      <c r="M33" s="2">
        <v>142</v>
      </c>
      <c r="N33" s="2">
        <v>181</v>
      </c>
      <c r="O33" s="2">
        <v>220</v>
      </c>
      <c r="P33" s="2">
        <v>262</v>
      </c>
      <c r="Q33" s="2">
        <v>304</v>
      </c>
      <c r="R33" s="2">
        <v>351</v>
      </c>
      <c r="S33" s="2">
        <v>399</v>
      </c>
      <c r="T33" s="2">
        <v>453</v>
      </c>
      <c r="U33" s="2">
        <v>508</v>
      </c>
      <c r="V33" s="2">
        <v>564</v>
      </c>
      <c r="W33" s="2">
        <v>622</v>
      </c>
      <c r="X33" s="2">
        <v>680</v>
      </c>
      <c r="Y33" s="2">
        <v>739</v>
      </c>
      <c r="Z33" s="2">
        <v>799</v>
      </c>
      <c r="AA33" s="2">
        <v>859</v>
      </c>
      <c r="AB33" s="2">
        <v>919</v>
      </c>
      <c r="AC33" s="2">
        <v>979</v>
      </c>
      <c r="AD33" s="2">
        <v>1041</v>
      </c>
      <c r="AE33" s="2">
        <v>1103</v>
      </c>
      <c r="AF33" s="2">
        <v>1165</v>
      </c>
      <c r="AG33" s="2">
        <v>1228</v>
      </c>
      <c r="AH33" s="2">
        <v>1292</v>
      </c>
      <c r="AI33" s="2">
        <v>1357</v>
      </c>
      <c r="AJ33" s="2">
        <v>1422</v>
      </c>
      <c r="AK33" s="2">
        <v>1488</v>
      </c>
      <c r="AL33" s="2">
        <v>1554</v>
      </c>
      <c r="AM33" s="2">
        <v>1621</v>
      </c>
      <c r="AN33" s="2">
        <v>1688</v>
      </c>
      <c r="AO33" s="2">
        <v>1756</v>
      </c>
      <c r="AP33" s="2">
        <v>1825</v>
      </c>
      <c r="AQ33" s="2">
        <v>1894</v>
      </c>
      <c r="AR33" s="2">
        <v>1964</v>
      </c>
      <c r="AS33" s="2">
        <v>2034</v>
      </c>
      <c r="AT33" s="2">
        <v>2105</v>
      </c>
      <c r="AU33" s="2">
        <v>2177</v>
      </c>
      <c r="AV33" s="2">
        <v>2250</v>
      </c>
      <c r="AW33" s="2">
        <v>2326</v>
      </c>
      <c r="AX33" s="2">
        <v>2411</v>
      </c>
      <c r="AY33" s="2">
        <v>2496</v>
      </c>
      <c r="AZ33" s="2">
        <v>2582</v>
      </c>
      <c r="BA33" s="2">
        <v>2669</v>
      </c>
      <c r="BB33" s="2">
        <v>2757</v>
      </c>
      <c r="BC33" s="2">
        <v>2847</v>
      </c>
      <c r="BD33" s="2">
        <v>2937</v>
      </c>
      <c r="BE33" s="2">
        <v>3028</v>
      </c>
      <c r="BF33" s="2">
        <v>3123</v>
      </c>
    </row>
    <row r="34" spans="1:58" x14ac:dyDescent="0.2">
      <c r="A34" s="1">
        <v>32</v>
      </c>
      <c r="B34">
        <v>0</v>
      </c>
      <c r="C34">
        <v>0</v>
      </c>
      <c r="D34" s="2">
        <v>0</v>
      </c>
      <c r="E34" s="2">
        <v>0</v>
      </c>
      <c r="F34" s="2">
        <v>0</v>
      </c>
      <c r="G34" s="2"/>
      <c r="H34" s="2"/>
      <c r="I34" s="2">
        <v>6</v>
      </c>
      <c r="J34" s="2">
        <v>38</v>
      </c>
      <c r="K34" s="2">
        <v>73</v>
      </c>
      <c r="L34" s="2">
        <v>109</v>
      </c>
      <c r="M34" s="2">
        <v>147</v>
      </c>
      <c r="N34" s="2">
        <v>186</v>
      </c>
      <c r="O34" s="2">
        <v>225</v>
      </c>
      <c r="P34" s="2">
        <v>265</v>
      </c>
      <c r="Q34" s="2">
        <v>305</v>
      </c>
      <c r="R34" s="2">
        <v>349</v>
      </c>
      <c r="S34" s="2">
        <v>395</v>
      </c>
      <c r="T34" s="2">
        <v>447</v>
      </c>
      <c r="U34" s="2">
        <v>500</v>
      </c>
      <c r="V34" s="2">
        <v>554</v>
      </c>
      <c r="W34" s="2">
        <v>608</v>
      </c>
      <c r="X34" s="2">
        <v>664</v>
      </c>
      <c r="Y34" s="2">
        <v>720</v>
      </c>
      <c r="Z34" s="2">
        <v>777</v>
      </c>
      <c r="AA34" s="2">
        <v>834</v>
      </c>
      <c r="AB34" s="2">
        <v>892</v>
      </c>
      <c r="AC34" s="2">
        <v>951</v>
      </c>
      <c r="AD34" s="2">
        <v>1010</v>
      </c>
      <c r="AE34" s="2">
        <v>1071</v>
      </c>
      <c r="AF34" s="2">
        <v>1133</v>
      </c>
      <c r="AG34" s="2">
        <v>1195</v>
      </c>
      <c r="AH34" s="2">
        <v>1257</v>
      </c>
      <c r="AI34" s="2">
        <v>1320</v>
      </c>
      <c r="AJ34" s="2">
        <v>1384</v>
      </c>
      <c r="AK34" s="2">
        <v>1449</v>
      </c>
      <c r="AL34" s="2">
        <v>1514</v>
      </c>
      <c r="AM34" s="2">
        <v>1580</v>
      </c>
      <c r="AN34" s="2">
        <v>1647</v>
      </c>
      <c r="AO34" s="2">
        <v>1714</v>
      </c>
      <c r="AP34" s="2">
        <v>1781</v>
      </c>
      <c r="AQ34" s="2">
        <v>1848</v>
      </c>
      <c r="AR34" s="2">
        <v>1916</v>
      </c>
      <c r="AS34" s="2">
        <v>1985</v>
      </c>
      <c r="AT34" s="2">
        <v>2054</v>
      </c>
      <c r="AU34" s="2">
        <v>2125</v>
      </c>
      <c r="AV34" s="2">
        <v>2197</v>
      </c>
      <c r="AW34" s="2">
        <v>2271</v>
      </c>
      <c r="AX34" s="2">
        <v>2353</v>
      </c>
      <c r="AY34" s="2">
        <v>2435</v>
      </c>
      <c r="AZ34" s="2">
        <v>2520</v>
      </c>
      <c r="BA34" s="2">
        <v>2606</v>
      </c>
      <c r="BB34" s="2">
        <v>2694</v>
      </c>
      <c r="BC34" s="2">
        <v>2783</v>
      </c>
      <c r="BD34" s="2">
        <v>2873</v>
      </c>
      <c r="BE34" s="2">
        <v>2964</v>
      </c>
      <c r="BF34" s="2">
        <v>3057</v>
      </c>
    </row>
    <row r="35" spans="1:58" x14ac:dyDescent="0.2">
      <c r="A35" s="1">
        <v>33</v>
      </c>
      <c r="B35">
        <v>25</v>
      </c>
      <c r="C35">
        <v>24.5</v>
      </c>
      <c r="D35" s="2">
        <v>6</v>
      </c>
      <c r="E35" s="2">
        <v>6</v>
      </c>
      <c r="F35" s="2">
        <v>6</v>
      </c>
      <c r="G35" s="2"/>
      <c r="H35" s="2"/>
      <c r="I35" s="2">
        <v>3</v>
      </c>
      <c r="J35" s="2">
        <v>7</v>
      </c>
      <c r="K35" s="2">
        <v>12</v>
      </c>
      <c r="L35" s="2">
        <v>18</v>
      </c>
      <c r="M35" s="2">
        <v>26</v>
      </c>
      <c r="N35" s="2">
        <v>36</v>
      </c>
      <c r="O35" s="2">
        <v>46</v>
      </c>
      <c r="P35" s="2">
        <v>62</v>
      </c>
      <c r="Q35" s="2">
        <v>81</v>
      </c>
      <c r="R35" s="2">
        <v>100</v>
      </c>
      <c r="S35" s="2">
        <v>120</v>
      </c>
      <c r="T35" s="2">
        <v>141</v>
      </c>
      <c r="U35" s="2">
        <v>163</v>
      </c>
      <c r="V35" s="2">
        <v>185</v>
      </c>
      <c r="W35" s="2">
        <v>207</v>
      </c>
      <c r="X35" s="2">
        <v>230</v>
      </c>
      <c r="Y35" s="2">
        <v>255</v>
      </c>
      <c r="Z35" s="2">
        <v>280</v>
      </c>
      <c r="AA35" s="2">
        <v>305</v>
      </c>
      <c r="AB35" s="2">
        <v>330</v>
      </c>
      <c r="AC35" s="2">
        <v>358</v>
      </c>
      <c r="AD35" s="2">
        <v>386</v>
      </c>
      <c r="AE35" s="2">
        <v>415</v>
      </c>
      <c r="AF35" s="2">
        <v>445</v>
      </c>
      <c r="AG35" s="2">
        <v>476</v>
      </c>
      <c r="AH35" s="2">
        <v>508</v>
      </c>
      <c r="AI35" s="2">
        <v>540</v>
      </c>
      <c r="AJ35" s="2">
        <v>573</v>
      </c>
      <c r="AK35" s="2">
        <v>607</v>
      </c>
      <c r="AL35" s="2">
        <v>642</v>
      </c>
      <c r="AM35" s="2">
        <v>677</v>
      </c>
      <c r="AN35" s="2">
        <v>712</v>
      </c>
      <c r="AO35" s="2">
        <v>748</v>
      </c>
      <c r="AP35" s="2">
        <v>784</v>
      </c>
      <c r="AQ35" s="2">
        <v>820</v>
      </c>
      <c r="AR35" s="2">
        <v>858</v>
      </c>
      <c r="AS35" s="2">
        <v>896</v>
      </c>
      <c r="AT35" s="2">
        <v>934</v>
      </c>
      <c r="AU35" s="2">
        <v>974</v>
      </c>
      <c r="AV35" s="2">
        <v>1016</v>
      </c>
      <c r="AW35" s="2">
        <v>1059</v>
      </c>
      <c r="AX35" s="2">
        <v>1103</v>
      </c>
      <c r="AY35" s="2">
        <v>1149</v>
      </c>
      <c r="AZ35" s="2">
        <v>1198</v>
      </c>
      <c r="BA35" s="2">
        <v>1248</v>
      </c>
      <c r="BB35" s="2">
        <v>1298</v>
      </c>
      <c r="BC35" s="2">
        <v>1348</v>
      </c>
      <c r="BD35" s="2">
        <v>1400</v>
      </c>
      <c r="BE35" s="2">
        <v>1455</v>
      </c>
      <c r="BF35" s="2">
        <v>1515</v>
      </c>
    </row>
    <row r="36" spans="1:58" x14ac:dyDescent="0.2">
      <c r="A36" s="1">
        <v>34</v>
      </c>
      <c r="B36">
        <v>9</v>
      </c>
      <c r="C36">
        <v>9</v>
      </c>
      <c r="D36" s="2">
        <v>2</v>
      </c>
      <c r="E36" s="2">
        <v>2</v>
      </c>
      <c r="F36" s="2">
        <v>2</v>
      </c>
      <c r="G36" s="2"/>
      <c r="H36" s="2"/>
      <c r="I36" s="2">
        <v>2</v>
      </c>
      <c r="J36" s="2">
        <v>28</v>
      </c>
      <c r="K36" s="2">
        <v>58</v>
      </c>
      <c r="L36" s="2">
        <v>90</v>
      </c>
      <c r="M36" s="2">
        <v>123</v>
      </c>
      <c r="N36" s="2">
        <v>158</v>
      </c>
      <c r="O36" s="2">
        <v>193</v>
      </c>
      <c r="P36" s="2">
        <v>230</v>
      </c>
      <c r="Q36" s="2">
        <v>267</v>
      </c>
      <c r="R36" s="2">
        <v>309</v>
      </c>
      <c r="S36" s="2">
        <v>352</v>
      </c>
      <c r="T36" s="2">
        <v>403</v>
      </c>
      <c r="U36" s="2">
        <v>455</v>
      </c>
      <c r="V36" s="2">
        <v>508</v>
      </c>
      <c r="W36" s="2">
        <v>561</v>
      </c>
      <c r="X36" s="2">
        <v>615</v>
      </c>
      <c r="Y36" s="2">
        <v>669</v>
      </c>
      <c r="Z36" s="2">
        <v>724</v>
      </c>
      <c r="AA36" s="2">
        <v>779</v>
      </c>
      <c r="AB36" s="2">
        <v>834</v>
      </c>
      <c r="AC36" s="2">
        <v>890</v>
      </c>
      <c r="AD36" s="2">
        <v>947</v>
      </c>
      <c r="AE36" s="2">
        <v>1004</v>
      </c>
      <c r="AF36" s="2">
        <v>1062</v>
      </c>
      <c r="AG36" s="2">
        <v>1120</v>
      </c>
      <c r="AH36" s="2">
        <v>1180</v>
      </c>
      <c r="AI36" s="2">
        <v>1240</v>
      </c>
      <c r="AJ36" s="2">
        <v>1300</v>
      </c>
      <c r="AK36" s="2">
        <v>1361</v>
      </c>
      <c r="AL36" s="2">
        <v>1423</v>
      </c>
      <c r="AM36" s="2">
        <v>1485</v>
      </c>
      <c r="AN36" s="2">
        <v>1548</v>
      </c>
      <c r="AO36" s="2">
        <v>1612</v>
      </c>
      <c r="AP36" s="2">
        <v>1676</v>
      </c>
      <c r="AQ36" s="2">
        <v>1741</v>
      </c>
      <c r="AR36" s="2">
        <v>1806</v>
      </c>
      <c r="AS36" s="2">
        <v>1871</v>
      </c>
      <c r="AT36" s="2">
        <v>1937</v>
      </c>
      <c r="AU36" s="2">
        <v>2005</v>
      </c>
      <c r="AV36" s="2">
        <v>2074</v>
      </c>
      <c r="AW36" s="2">
        <v>2145</v>
      </c>
      <c r="AX36" s="2">
        <v>2225</v>
      </c>
      <c r="AY36" s="2">
        <v>2305</v>
      </c>
      <c r="AZ36" s="2">
        <v>2387</v>
      </c>
      <c r="BA36" s="2">
        <v>2469</v>
      </c>
      <c r="BB36" s="2">
        <v>2553</v>
      </c>
      <c r="BC36" s="2">
        <v>2638</v>
      </c>
      <c r="BD36" s="2">
        <v>2724</v>
      </c>
      <c r="BE36" s="2">
        <v>2811</v>
      </c>
      <c r="BF36" s="2">
        <v>2901</v>
      </c>
    </row>
    <row r="37" spans="1:58" x14ac:dyDescent="0.2">
      <c r="A37" s="1">
        <v>35</v>
      </c>
      <c r="B37">
        <v>6</v>
      </c>
      <c r="C37">
        <v>0</v>
      </c>
      <c r="D37" s="2">
        <v>1</v>
      </c>
      <c r="E37" s="2">
        <v>0</v>
      </c>
      <c r="F37" s="2">
        <v>0</v>
      </c>
      <c r="G37" s="2"/>
      <c r="H37" s="2"/>
      <c r="I37" s="2">
        <v>5</v>
      </c>
      <c r="J37" s="2">
        <v>34</v>
      </c>
      <c r="K37" s="2">
        <v>67</v>
      </c>
      <c r="L37" s="2">
        <v>100</v>
      </c>
      <c r="M37" s="2">
        <v>135</v>
      </c>
      <c r="N37" s="2">
        <v>170</v>
      </c>
      <c r="O37" s="2">
        <v>206</v>
      </c>
      <c r="P37" s="2">
        <v>243</v>
      </c>
      <c r="Q37" s="2">
        <v>280</v>
      </c>
      <c r="R37" s="2">
        <v>320</v>
      </c>
      <c r="S37" s="2">
        <v>362</v>
      </c>
      <c r="T37" s="2">
        <v>410</v>
      </c>
      <c r="U37" s="2">
        <v>460</v>
      </c>
      <c r="V37" s="2">
        <v>510</v>
      </c>
      <c r="W37" s="2">
        <v>560</v>
      </c>
      <c r="X37" s="2">
        <v>612</v>
      </c>
      <c r="Y37" s="2">
        <v>665</v>
      </c>
      <c r="Z37" s="2">
        <v>718</v>
      </c>
      <c r="AA37" s="2">
        <v>772</v>
      </c>
      <c r="AB37" s="2">
        <v>827</v>
      </c>
      <c r="AC37" s="2">
        <v>882</v>
      </c>
      <c r="AD37" s="2">
        <v>938</v>
      </c>
      <c r="AE37" s="2">
        <v>995</v>
      </c>
      <c r="AF37" s="2">
        <v>1053</v>
      </c>
      <c r="AG37" s="2">
        <v>1111</v>
      </c>
      <c r="AH37" s="2">
        <v>1170</v>
      </c>
      <c r="AI37" s="2">
        <v>1230</v>
      </c>
      <c r="AJ37" s="2">
        <v>1290</v>
      </c>
      <c r="AK37" s="2">
        <v>1351</v>
      </c>
      <c r="AL37" s="2">
        <v>1412</v>
      </c>
      <c r="AM37" s="2">
        <v>1474</v>
      </c>
      <c r="AN37" s="2">
        <v>1537</v>
      </c>
      <c r="AO37" s="2">
        <v>1600</v>
      </c>
      <c r="AP37" s="2">
        <v>1664</v>
      </c>
      <c r="AQ37" s="2">
        <v>1728</v>
      </c>
      <c r="AR37" s="2">
        <v>1793</v>
      </c>
      <c r="AS37" s="2">
        <v>1858</v>
      </c>
      <c r="AT37" s="2">
        <v>1924</v>
      </c>
      <c r="AU37" s="2">
        <v>1991</v>
      </c>
      <c r="AV37" s="2">
        <v>2059</v>
      </c>
      <c r="AW37" s="2">
        <v>2129</v>
      </c>
      <c r="AX37" s="2">
        <v>2207</v>
      </c>
      <c r="AY37" s="2">
        <v>2285</v>
      </c>
      <c r="AZ37" s="2">
        <v>2366</v>
      </c>
      <c r="BA37" s="2">
        <v>2449</v>
      </c>
      <c r="BB37" s="2">
        <v>2533</v>
      </c>
      <c r="BC37" s="2">
        <v>2618</v>
      </c>
      <c r="BD37" s="2">
        <v>2705</v>
      </c>
      <c r="BE37" s="2">
        <v>2793</v>
      </c>
      <c r="BF37" s="2">
        <v>2882</v>
      </c>
    </row>
    <row r="38" spans="1:58" x14ac:dyDescent="0.2">
      <c r="A38" s="1">
        <v>36</v>
      </c>
      <c r="B38">
        <v>0</v>
      </c>
      <c r="C38">
        <v>0</v>
      </c>
      <c r="D38" s="2">
        <v>0</v>
      </c>
      <c r="E38" s="2">
        <v>0</v>
      </c>
      <c r="F38" s="2">
        <v>0</v>
      </c>
      <c r="G38" s="2"/>
      <c r="H38" s="2"/>
      <c r="I38" s="2">
        <v>5</v>
      </c>
      <c r="J38" s="2">
        <v>34</v>
      </c>
      <c r="K38" s="2">
        <v>66</v>
      </c>
      <c r="L38" s="2">
        <v>99</v>
      </c>
      <c r="M38" s="2">
        <v>133</v>
      </c>
      <c r="N38" s="2">
        <v>167</v>
      </c>
      <c r="O38" s="2">
        <v>202</v>
      </c>
      <c r="P38" s="2">
        <v>238</v>
      </c>
      <c r="Q38" s="2">
        <v>275</v>
      </c>
      <c r="R38" s="2">
        <v>314</v>
      </c>
      <c r="S38" s="2">
        <v>355</v>
      </c>
      <c r="T38" s="2">
        <v>402</v>
      </c>
      <c r="U38" s="2">
        <v>451</v>
      </c>
      <c r="V38" s="2">
        <v>500</v>
      </c>
      <c r="W38" s="2">
        <v>549</v>
      </c>
      <c r="X38" s="2">
        <v>600</v>
      </c>
      <c r="Y38" s="2">
        <v>652</v>
      </c>
      <c r="Z38" s="2">
        <v>704</v>
      </c>
      <c r="AA38" s="2">
        <v>757</v>
      </c>
      <c r="AB38" s="2">
        <v>811</v>
      </c>
      <c r="AC38" s="2">
        <v>865</v>
      </c>
      <c r="AD38" s="2">
        <v>920</v>
      </c>
      <c r="AE38" s="2">
        <v>977</v>
      </c>
      <c r="AF38" s="2">
        <v>1034</v>
      </c>
      <c r="AG38" s="2">
        <v>1091</v>
      </c>
      <c r="AH38" s="2">
        <v>1149</v>
      </c>
      <c r="AI38" s="2">
        <v>1208</v>
      </c>
      <c r="AJ38" s="2">
        <v>1267</v>
      </c>
      <c r="AK38" s="2">
        <v>1327</v>
      </c>
      <c r="AL38" s="2">
        <v>1388</v>
      </c>
      <c r="AM38" s="2">
        <v>1449</v>
      </c>
      <c r="AN38" s="2">
        <v>1511</v>
      </c>
      <c r="AO38" s="2">
        <v>1573</v>
      </c>
      <c r="AP38" s="2">
        <v>1636</v>
      </c>
      <c r="AQ38" s="2">
        <v>1699</v>
      </c>
      <c r="AR38" s="2">
        <v>1763</v>
      </c>
      <c r="AS38" s="2">
        <v>1828</v>
      </c>
      <c r="AT38" s="2">
        <v>1893</v>
      </c>
      <c r="AU38" s="2">
        <v>1959</v>
      </c>
      <c r="AV38" s="2">
        <v>2026</v>
      </c>
      <c r="AW38" s="2">
        <v>2095</v>
      </c>
      <c r="AX38" s="2">
        <v>2172</v>
      </c>
      <c r="AY38" s="2">
        <v>2249</v>
      </c>
      <c r="AZ38" s="2">
        <v>2329</v>
      </c>
      <c r="BA38" s="2">
        <v>2411</v>
      </c>
      <c r="BB38" s="2">
        <v>2494</v>
      </c>
      <c r="BC38" s="2">
        <v>2579</v>
      </c>
      <c r="BD38" s="2">
        <v>2665</v>
      </c>
      <c r="BE38" s="2">
        <v>2752</v>
      </c>
      <c r="BF38" s="2">
        <v>2840</v>
      </c>
    </row>
    <row r="39" spans="1:58" x14ac:dyDescent="0.2">
      <c r="A39" s="1">
        <v>37</v>
      </c>
      <c r="B39">
        <v>0</v>
      </c>
      <c r="C39">
        <v>0</v>
      </c>
      <c r="D39" s="2">
        <v>0</v>
      </c>
      <c r="E39" s="2">
        <v>0</v>
      </c>
      <c r="F39" s="2">
        <v>2</v>
      </c>
      <c r="G39" s="2"/>
      <c r="H39" s="2"/>
      <c r="I39" s="2">
        <v>10</v>
      </c>
      <c r="J39" s="2">
        <v>42</v>
      </c>
      <c r="K39" s="2">
        <v>74</v>
      </c>
      <c r="L39" s="2">
        <v>107</v>
      </c>
      <c r="M39" s="2">
        <v>143</v>
      </c>
      <c r="N39" s="2">
        <v>179</v>
      </c>
      <c r="O39" s="2">
        <v>216</v>
      </c>
      <c r="P39" s="2">
        <v>254</v>
      </c>
      <c r="Q39" s="2">
        <v>293</v>
      </c>
      <c r="R39" s="2">
        <v>333</v>
      </c>
      <c r="S39" s="2">
        <v>373</v>
      </c>
      <c r="T39" s="2">
        <v>417</v>
      </c>
      <c r="U39" s="2">
        <v>462</v>
      </c>
      <c r="V39" s="2">
        <v>507</v>
      </c>
      <c r="W39" s="2">
        <v>553</v>
      </c>
      <c r="X39" s="2">
        <v>601</v>
      </c>
      <c r="Y39" s="2">
        <v>651</v>
      </c>
      <c r="Z39" s="2">
        <v>701</v>
      </c>
      <c r="AA39" s="2">
        <v>753</v>
      </c>
      <c r="AB39" s="2">
        <v>805</v>
      </c>
      <c r="AC39" s="2">
        <v>860</v>
      </c>
      <c r="AD39" s="2">
        <v>915</v>
      </c>
      <c r="AE39" s="2">
        <v>971</v>
      </c>
      <c r="AF39" s="2">
        <v>1028</v>
      </c>
      <c r="AG39" s="2">
        <v>1086</v>
      </c>
      <c r="AH39" s="2">
        <v>1145</v>
      </c>
      <c r="AI39" s="2">
        <v>1204</v>
      </c>
      <c r="AJ39" s="2">
        <v>1264</v>
      </c>
      <c r="AK39" s="2">
        <v>1324</v>
      </c>
      <c r="AL39" s="2">
        <v>1384</v>
      </c>
      <c r="AM39" s="2">
        <v>1444</v>
      </c>
      <c r="AN39" s="2">
        <v>1504</v>
      </c>
      <c r="AO39" s="2">
        <v>1566</v>
      </c>
      <c r="AP39" s="2">
        <v>1630</v>
      </c>
      <c r="AQ39" s="2">
        <v>1694</v>
      </c>
      <c r="AR39" s="2">
        <v>1759</v>
      </c>
      <c r="AS39" s="2">
        <v>1824</v>
      </c>
      <c r="AT39" s="2">
        <v>1890</v>
      </c>
      <c r="AU39" s="2">
        <v>1957</v>
      </c>
      <c r="AV39" s="2">
        <v>2024</v>
      </c>
      <c r="AW39" s="2">
        <v>2093</v>
      </c>
      <c r="AX39" s="2">
        <v>2168</v>
      </c>
      <c r="AY39" s="2">
        <v>2244</v>
      </c>
      <c r="AZ39" s="2">
        <v>2323</v>
      </c>
      <c r="BA39" s="2">
        <v>2405</v>
      </c>
      <c r="BB39" s="2">
        <v>2489</v>
      </c>
      <c r="BC39" s="2">
        <v>2576</v>
      </c>
      <c r="BD39" s="2">
        <v>2663</v>
      </c>
      <c r="BE39" s="2">
        <v>2751</v>
      </c>
      <c r="BF39" s="2">
        <v>2840</v>
      </c>
    </row>
    <row r="40" spans="1:58" x14ac:dyDescent="0.2">
      <c r="A40" s="1">
        <v>38</v>
      </c>
      <c r="B40">
        <v>9</v>
      </c>
      <c r="C40">
        <v>16</v>
      </c>
      <c r="D40" s="2">
        <v>2</v>
      </c>
      <c r="E40" s="2">
        <v>4</v>
      </c>
      <c r="F40" s="2">
        <v>4</v>
      </c>
      <c r="G40" s="2"/>
      <c r="H40" s="2"/>
      <c r="I40" s="2">
        <v>3</v>
      </c>
      <c r="J40" s="2">
        <v>26</v>
      </c>
      <c r="K40" s="2">
        <v>53</v>
      </c>
      <c r="L40" s="2">
        <v>81</v>
      </c>
      <c r="M40" s="2">
        <v>111</v>
      </c>
      <c r="N40" s="2">
        <v>142</v>
      </c>
      <c r="O40" s="2">
        <v>174</v>
      </c>
      <c r="P40" s="2">
        <v>206</v>
      </c>
      <c r="Q40" s="2">
        <v>238</v>
      </c>
      <c r="R40" s="2">
        <v>275</v>
      </c>
      <c r="S40" s="2">
        <v>313</v>
      </c>
      <c r="T40" s="2">
        <v>360</v>
      </c>
      <c r="U40" s="2">
        <v>408</v>
      </c>
      <c r="V40" s="2">
        <v>457</v>
      </c>
      <c r="W40" s="2">
        <v>506</v>
      </c>
      <c r="X40" s="2">
        <v>556</v>
      </c>
      <c r="Y40" s="2">
        <v>606</v>
      </c>
      <c r="Z40" s="2">
        <v>656</v>
      </c>
      <c r="AA40" s="2">
        <v>706</v>
      </c>
      <c r="AB40" s="2">
        <v>757</v>
      </c>
      <c r="AC40" s="2">
        <v>809</v>
      </c>
      <c r="AD40" s="2">
        <v>861</v>
      </c>
      <c r="AE40" s="2">
        <v>913</v>
      </c>
      <c r="AF40" s="2">
        <v>967</v>
      </c>
      <c r="AG40" s="2">
        <v>1021</v>
      </c>
      <c r="AH40" s="2">
        <v>1076</v>
      </c>
      <c r="AI40" s="2">
        <v>1131</v>
      </c>
      <c r="AJ40" s="2">
        <v>1187</v>
      </c>
      <c r="AK40" s="2">
        <v>1244</v>
      </c>
      <c r="AL40" s="2">
        <v>1301</v>
      </c>
      <c r="AM40" s="2">
        <v>1359</v>
      </c>
      <c r="AN40" s="2">
        <v>1417</v>
      </c>
      <c r="AO40" s="2">
        <v>1476</v>
      </c>
      <c r="AP40" s="2">
        <v>1536</v>
      </c>
      <c r="AQ40" s="2">
        <v>1596</v>
      </c>
      <c r="AR40" s="2">
        <v>1656</v>
      </c>
      <c r="AS40" s="2">
        <v>1716</v>
      </c>
      <c r="AT40" s="2">
        <v>1777</v>
      </c>
      <c r="AU40" s="2">
        <v>1840</v>
      </c>
      <c r="AV40" s="2">
        <v>1904</v>
      </c>
      <c r="AW40" s="2">
        <v>1970</v>
      </c>
      <c r="AX40" s="2">
        <v>2045</v>
      </c>
      <c r="AY40" s="2">
        <v>2120</v>
      </c>
      <c r="AZ40" s="2">
        <v>2197</v>
      </c>
      <c r="BA40" s="2">
        <v>2275</v>
      </c>
      <c r="BB40" s="2">
        <v>2355</v>
      </c>
      <c r="BC40" s="2">
        <v>2435</v>
      </c>
      <c r="BD40" s="2">
        <v>2517</v>
      </c>
      <c r="BE40" s="2">
        <v>2600</v>
      </c>
      <c r="BF40" s="2">
        <v>2685</v>
      </c>
    </row>
    <row r="41" spans="1:58" x14ac:dyDescent="0.2">
      <c r="A41" s="1">
        <v>39</v>
      </c>
      <c r="B41">
        <v>21.5</v>
      </c>
      <c r="C41">
        <v>22.5</v>
      </c>
      <c r="D41" s="2">
        <v>5</v>
      </c>
      <c r="E41" s="2">
        <v>5</v>
      </c>
      <c r="F41" s="2">
        <v>5</v>
      </c>
      <c r="G41" s="2"/>
      <c r="H41" s="2"/>
      <c r="I41" s="2">
        <v>3</v>
      </c>
      <c r="J41" s="2">
        <v>8</v>
      </c>
      <c r="K41" s="2">
        <v>16</v>
      </c>
      <c r="L41" s="2">
        <v>26</v>
      </c>
      <c r="M41" s="2">
        <v>37</v>
      </c>
      <c r="N41" s="2">
        <v>49</v>
      </c>
      <c r="O41" s="2">
        <v>72</v>
      </c>
      <c r="P41" s="2">
        <v>98</v>
      </c>
      <c r="Q41" s="2">
        <v>126</v>
      </c>
      <c r="R41" s="2">
        <v>155</v>
      </c>
      <c r="S41" s="2">
        <v>186</v>
      </c>
      <c r="T41" s="2">
        <v>219</v>
      </c>
      <c r="U41" s="2">
        <v>253</v>
      </c>
      <c r="V41" s="2">
        <v>288</v>
      </c>
      <c r="W41" s="2">
        <v>324</v>
      </c>
      <c r="X41" s="2">
        <v>360</v>
      </c>
      <c r="Y41" s="2">
        <v>397</v>
      </c>
      <c r="Z41" s="2">
        <v>436</v>
      </c>
      <c r="AA41" s="2">
        <v>477</v>
      </c>
      <c r="AB41" s="2">
        <v>519</v>
      </c>
      <c r="AC41" s="2">
        <v>564</v>
      </c>
      <c r="AD41" s="2">
        <v>610</v>
      </c>
      <c r="AE41" s="2">
        <v>656</v>
      </c>
      <c r="AF41" s="2">
        <v>703</v>
      </c>
      <c r="AG41" s="2">
        <v>750</v>
      </c>
      <c r="AH41" s="2">
        <v>797</v>
      </c>
      <c r="AI41" s="2">
        <v>847</v>
      </c>
      <c r="AJ41" s="2">
        <v>897</v>
      </c>
      <c r="AK41" s="2">
        <v>947</v>
      </c>
      <c r="AL41" s="2">
        <v>998</v>
      </c>
      <c r="AM41" s="2">
        <v>1049</v>
      </c>
      <c r="AN41" s="2">
        <v>1101</v>
      </c>
      <c r="AO41" s="2">
        <v>1154</v>
      </c>
      <c r="AP41" s="2">
        <v>1207</v>
      </c>
      <c r="AQ41" s="2">
        <v>1260</v>
      </c>
      <c r="AR41" s="2">
        <v>1314</v>
      </c>
      <c r="AS41" s="2">
        <v>1368</v>
      </c>
      <c r="AT41" s="2">
        <v>1423</v>
      </c>
      <c r="AU41" s="2">
        <v>1478</v>
      </c>
      <c r="AV41" s="2">
        <v>1533</v>
      </c>
      <c r="AW41" s="2">
        <v>1591</v>
      </c>
      <c r="AX41" s="2">
        <v>1649</v>
      </c>
      <c r="AY41" s="2">
        <v>1709</v>
      </c>
      <c r="AZ41" s="2">
        <v>1771</v>
      </c>
      <c r="BA41" s="2">
        <v>1836</v>
      </c>
      <c r="BB41" s="2">
        <v>1902</v>
      </c>
      <c r="BC41" s="2">
        <v>1969</v>
      </c>
      <c r="BD41" s="2">
        <v>2037</v>
      </c>
      <c r="BE41" s="2">
        <v>2107</v>
      </c>
      <c r="BF41" s="2">
        <v>2182</v>
      </c>
    </row>
    <row r="42" spans="1:58" x14ac:dyDescent="0.2">
      <c r="A42" s="1">
        <v>40</v>
      </c>
      <c r="B42">
        <v>22</v>
      </c>
      <c r="C42">
        <v>23.5</v>
      </c>
      <c r="D42" s="2">
        <v>5</v>
      </c>
      <c r="E42" s="2">
        <v>8</v>
      </c>
      <c r="F42" s="2">
        <v>5</v>
      </c>
      <c r="G42" s="2"/>
      <c r="H42" s="2"/>
      <c r="I42" s="2">
        <v>1</v>
      </c>
      <c r="J42" s="2">
        <v>5</v>
      </c>
      <c r="K42" s="2">
        <v>10</v>
      </c>
      <c r="L42" s="2">
        <v>15</v>
      </c>
      <c r="M42" s="2">
        <v>20</v>
      </c>
      <c r="N42" s="2">
        <v>26</v>
      </c>
      <c r="O42" s="2">
        <v>47</v>
      </c>
      <c r="P42" s="2">
        <v>70</v>
      </c>
      <c r="Q42" s="2">
        <v>94</v>
      </c>
      <c r="R42" s="2">
        <v>119</v>
      </c>
      <c r="S42" s="2">
        <v>145</v>
      </c>
      <c r="T42" s="2">
        <v>172</v>
      </c>
      <c r="U42" s="2">
        <v>200</v>
      </c>
      <c r="V42" s="2">
        <v>228</v>
      </c>
      <c r="W42" s="2">
        <v>257</v>
      </c>
      <c r="X42" s="2">
        <v>286</v>
      </c>
      <c r="Y42" s="2">
        <v>316</v>
      </c>
      <c r="Z42" s="2">
        <v>347</v>
      </c>
      <c r="AA42" s="2">
        <v>379</v>
      </c>
      <c r="AB42" s="2">
        <v>413</v>
      </c>
      <c r="AC42" s="2">
        <v>449</v>
      </c>
      <c r="AD42" s="2">
        <v>487</v>
      </c>
      <c r="AE42" s="2">
        <v>525</v>
      </c>
      <c r="AF42" s="2">
        <v>563</v>
      </c>
      <c r="AG42" s="2">
        <v>602</v>
      </c>
      <c r="AH42" s="2">
        <v>642</v>
      </c>
      <c r="AI42" s="2">
        <v>683</v>
      </c>
      <c r="AJ42" s="2">
        <v>724</v>
      </c>
      <c r="AK42" s="2">
        <v>766</v>
      </c>
      <c r="AL42" s="2">
        <v>809</v>
      </c>
      <c r="AM42" s="2">
        <v>852</v>
      </c>
      <c r="AN42" s="2">
        <v>897</v>
      </c>
      <c r="AO42" s="2">
        <v>942</v>
      </c>
      <c r="AP42" s="2">
        <v>988</v>
      </c>
      <c r="AQ42" s="2">
        <v>1034</v>
      </c>
      <c r="AR42" s="2">
        <v>1080</v>
      </c>
      <c r="AS42" s="2">
        <v>1127</v>
      </c>
      <c r="AT42" s="2">
        <v>1175</v>
      </c>
      <c r="AU42" s="2">
        <v>1223</v>
      </c>
      <c r="AV42" s="2">
        <v>1273</v>
      </c>
      <c r="AW42" s="2">
        <v>1324</v>
      </c>
      <c r="AX42" s="2">
        <v>1377</v>
      </c>
      <c r="AY42" s="2">
        <v>1431</v>
      </c>
      <c r="AZ42" s="2">
        <v>1485</v>
      </c>
      <c r="BA42" s="2">
        <v>1541</v>
      </c>
      <c r="BB42" s="2">
        <v>1598</v>
      </c>
      <c r="BC42" s="2">
        <v>1656</v>
      </c>
      <c r="BD42" s="2">
        <v>1715</v>
      </c>
      <c r="BE42" s="2">
        <v>1776</v>
      </c>
      <c r="BF42" s="2">
        <v>1842</v>
      </c>
    </row>
    <row r="43" spans="1:58" x14ac:dyDescent="0.2">
      <c r="A43" s="1">
        <v>41</v>
      </c>
      <c r="B43">
        <v>23</v>
      </c>
      <c r="C43">
        <v>24</v>
      </c>
      <c r="D43" s="2">
        <v>6</v>
      </c>
      <c r="E43" s="2">
        <v>6</v>
      </c>
      <c r="F43" s="2">
        <v>8</v>
      </c>
      <c r="G43" s="2"/>
      <c r="H43" s="2"/>
      <c r="I43" s="2">
        <v>4</v>
      </c>
      <c r="J43" s="2">
        <v>9</v>
      </c>
      <c r="K43" s="2">
        <v>16</v>
      </c>
      <c r="L43" s="2">
        <v>25</v>
      </c>
      <c r="M43" s="2">
        <v>35</v>
      </c>
      <c r="N43" s="2">
        <v>47</v>
      </c>
      <c r="O43" s="2">
        <v>66</v>
      </c>
      <c r="P43" s="2">
        <v>86</v>
      </c>
      <c r="Q43" s="2">
        <v>106</v>
      </c>
      <c r="R43" s="2">
        <v>127</v>
      </c>
      <c r="S43" s="2">
        <v>149</v>
      </c>
      <c r="T43" s="2">
        <v>171</v>
      </c>
      <c r="U43" s="2">
        <v>195</v>
      </c>
      <c r="V43" s="2">
        <v>220</v>
      </c>
      <c r="W43" s="2">
        <v>245</v>
      </c>
      <c r="X43" s="2">
        <v>271</v>
      </c>
      <c r="Y43" s="2">
        <v>298</v>
      </c>
      <c r="Z43" s="2">
        <v>325</v>
      </c>
      <c r="AA43" s="2">
        <v>353</v>
      </c>
      <c r="AB43" s="2">
        <v>383</v>
      </c>
      <c r="AC43" s="2">
        <v>415</v>
      </c>
      <c r="AD43" s="2">
        <v>448</v>
      </c>
      <c r="AE43" s="2">
        <v>481</v>
      </c>
      <c r="AF43" s="2">
        <v>515</v>
      </c>
      <c r="AG43" s="2">
        <v>550</v>
      </c>
      <c r="AH43" s="2">
        <v>585</v>
      </c>
      <c r="AI43" s="2">
        <v>620</v>
      </c>
      <c r="AJ43" s="2">
        <v>655</v>
      </c>
      <c r="AK43" s="2">
        <v>692</v>
      </c>
      <c r="AL43" s="2">
        <v>729</v>
      </c>
      <c r="AM43" s="2">
        <v>768</v>
      </c>
      <c r="AN43" s="2">
        <v>808</v>
      </c>
      <c r="AO43" s="2">
        <v>848</v>
      </c>
      <c r="AP43" s="2">
        <v>888</v>
      </c>
      <c r="AQ43" s="2">
        <v>929</v>
      </c>
      <c r="AR43" s="2">
        <v>972</v>
      </c>
      <c r="AS43" s="2">
        <v>1015</v>
      </c>
      <c r="AT43" s="2">
        <v>1059</v>
      </c>
      <c r="AU43" s="2">
        <v>1104</v>
      </c>
      <c r="AV43" s="2">
        <v>1150</v>
      </c>
      <c r="AW43" s="2">
        <v>1198</v>
      </c>
      <c r="AX43" s="2">
        <v>1246</v>
      </c>
      <c r="AY43" s="2">
        <v>1296</v>
      </c>
      <c r="AZ43" s="2">
        <v>1347</v>
      </c>
      <c r="BA43" s="2">
        <v>1399</v>
      </c>
      <c r="BB43" s="2">
        <v>1451</v>
      </c>
      <c r="BC43" s="2">
        <v>1503</v>
      </c>
      <c r="BD43" s="2">
        <v>1556</v>
      </c>
      <c r="BE43" s="2">
        <v>1611</v>
      </c>
      <c r="BF43" s="2">
        <v>1671</v>
      </c>
    </row>
    <row r="44" spans="1:58" x14ac:dyDescent="0.2">
      <c r="A44" s="1">
        <v>42</v>
      </c>
      <c r="B44">
        <v>25</v>
      </c>
      <c r="C44">
        <v>25</v>
      </c>
      <c r="D44" s="2">
        <v>5</v>
      </c>
      <c r="E44" s="2">
        <v>6</v>
      </c>
      <c r="F44" s="2">
        <v>5</v>
      </c>
      <c r="G44" s="2"/>
      <c r="H44" s="2"/>
      <c r="I44" s="2">
        <v>3</v>
      </c>
      <c r="J44" s="2">
        <v>8</v>
      </c>
      <c r="K44" s="2">
        <v>15</v>
      </c>
      <c r="L44" s="2">
        <v>23</v>
      </c>
      <c r="M44" s="2">
        <v>33</v>
      </c>
      <c r="N44" s="2">
        <v>46</v>
      </c>
      <c r="O44" s="2">
        <v>61</v>
      </c>
      <c r="P44" s="2">
        <v>79</v>
      </c>
      <c r="Q44" s="2">
        <v>98</v>
      </c>
      <c r="R44" s="2">
        <v>118</v>
      </c>
      <c r="S44" s="2">
        <v>138</v>
      </c>
      <c r="T44" s="2">
        <v>159</v>
      </c>
      <c r="U44" s="2">
        <v>182</v>
      </c>
      <c r="V44" s="2">
        <v>206</v>
      </c>
      <c r="W44" s="2">
        <v>231</v>
      </c>
      <c r="X44" s="2">
        <v>256</v>
      </c>
      <c r="Y44" s="2">
        <v>282</v>
      </c>
      <c r="Z44" s="2">
        <v>312</v>
      </c>
      <c r="AA44" s="2">
        <v>343</v>
      </c>
      <c r="AB44" s="2">
        <v>375</v>
      </c>
      <c r="AC44" s="2">
        <v>407</v>
      </c>
      <c r="AD44" s="2">
        <v>442</v>
      </c>
      <c r="AE44" s="2">
        <v>478</v>
      </c>
      <c r="AF44" s="2">
        <v>514</v>
      </c>
      <c r="AG44" s="2">
        <v>551</v>
      </c>
      <c r="AH44" s="2">
        <v>588</v>
      </c>
      <c r="AI44" s="2">
        <v>625</v>
      </c>
      <c r="AJ44" s="2">
        <v>663</v>
      </c>
      <c r="AK44" s="2">
        <v>702</v>
      </c>
      <c r="AL44" s="2">
        <v>743</v>
      </c>
      <c r="AM44" s="2">
        <v>784</v>
      </c>
      <c r="AN44" s="2">
        <v>826</v>
      </c>
      <c r="AO44" s="2">
        <v>869</v>
      </c>
      <c r="AP44" s="2">
        <v>912</v>
      </c>
      <c r="AQ44" s="2">
        <v>955</v>
      </c>
      <c r="AR44" s="2">
        <v>999</v>
      </c>
      <c r="AS44" s="2">
        <v>1044</v>
      </c>
      <c r="AT44" s="2">
        <v>1090</v>
      </c>
      <c r="AU44" s="2">
        <v>1137</v>
      </c>
      <c r="AV44" s="2">
        <v>1185</v>
      </c>
      <c r="AW44" s="2">
        <v>1234</v>
      </c>
      <c r="AX44" s="2">
        <v>1283</v>
      </c>
      <c r="AY44" s="2">
        <v>1333</v>
      </c>
      <c r="AZ44" s="2">
        <v>1386</v>
      </c>
      <c r="BA44" s="2">
        <v>1439</v>
      </c>
      <c r="BB44" s="2">
        <v>1493</v>
      </c>
      <c r="BC44" s="2">
        <v>1548</v>
      </c>
      <c r="BD44" s="2">
        <v>1605</v>
      </c>
      <c r="BE44" s="2">
        <v>1662</v>
      </c>
      <c r="BF44" s="2">
        <v>1723</v>
      </c>
    </row>
    <row r="45" spans="1:58" x14ac:dyDescent="0.2">
      <c r="A45" s="1">
        <v>43</v>
      </c>
      <c r="B45">
        <v>5</v>
      </c>
      <c r="C45">
        <v>5</v>
      </c>
      <c r="D45" s="2">
        <v>1</v>
      </c>
      <c r="E45" s="2">
        <v>1</v>
      </c>
      <c r="F45" s="2">
        <v>2</v>
      </c>
      <c r="G45" s="2"/>
      <c r="H45" s="2"/>
      <c r="I45" s="2">
        <v>7</v>
      </c>
      <c r="J45" s="2">
        <v>20</v>
      </c>
      <c r="K45" s="2">
        <v>45</v>
      </c>
      <c r="L45" s="2">
        <v>70</v>
      </c>
      <c r="M45" s="2">
        <v>97</v>
      </c>
      <c r="N45" s="2">
        <v>124</v>
      </c>
      <c r="O45" s="2">
        <v>154</v>
      </c>
      <c r="P45" s="2">
        <v>184</v>
      </c>
      <c r="Q45" s="2">
        <v>214</v>
      </c>
      <c r="R45" s="2">
        <v>245</v>
      </c>
      <c r="S45" s="2">
        <v>277</v>
      </c>
      <c r="T45" s="2">
        <v>309</v>
      </c>
      <c r="U45" s="2">
        <v>342</v>
      </c>
      <c r="V45" s="2">
        <v>377</v>
      </c>
      <c r="W45" s="2">
        <v>414</v>
      </c>
      <c r="X45" s="2">
        <v>456</v>
      </c>
      <c r="Y45" s="2">
        <v>501</v>
      </c>
      <c r="Z45" s="2">
        <v>548</v>
      </c>
      <c r="AA45" s="2">
        <v>597</v>
      </c>
      <c r="AB45" s="2">
        <v>646</v>
      </c>
      <c r="AC45" s="2">
        <v>696</v>
      </c>
      <c r="AD45" s="2">
        <v>747</v>
      </c>
      <c r="AE45" s="2">
        <v>798</v>
      </c>
      <c r="AF45" s="2">
        <v>850</v>
      </c>
      <c r="AG45" s="2">
        <v>904</v>
      </c>
      <c r="AH45" s="2">
        <v>958</v>
      </c>
      <c r="AI45" s="2">
        <v>1013</v>
      </c>
      <c r="AJ45" s="2">
        <v>1069</v>
      </c>
      <c r="AK45" s="2">
        <v>1127</v>
      </c>
      <c r="AL45" s="2">
        <v>1185</v>
      </c>
      <c r="AM45" s="2">
        <v>1245</v>
      </c>
      <c r="AN45" s="2">
        <v>1306</v>
      </c>
      <c r="AO45" s="2">
        <v>1368</v>
      </c>
      <c r="AP45" s="2">
        <v>1431</v>
      </c>
      <c r="AQ45" s="2">
        <v>1495</v>
      </c>
      <c r="AR45" s="2">
        <v>1560</v>
      </c>
      <c r="AS45" s="2">
        <v>1626</v>
      </c>
      <c r="AT45" s="2">
        <v>1693</v>
      </c>
      <c r="AU45" s="2">
        <v>1760</v>
      </c>
      <c r="AV45" s="2">
        <v>1829</v>
      </c>
      <c r="AW45" s="2">
        <v>1900</v>
      </c>
      <c r="AX45" s="2">
        <v>1972</v>
      </c>
      <c r="AY45" s="2">
        <v>2045</v>
      </c>
      <c r="AZ45" s="2">
        <v>2119</v>
      </c>
      <c r="BA45" s="2">
        <v>2194</v>
      </c>
      <c r="BB45" s="2">
        <v>2269</v>
      </c>
      <c r="BC45" s="2">
        <v>2344</v>
      </c>
      <c r="BD45" s="2">
        <v>2422</v>
      </c>
      <c r="BE45" s="2">
        <v>2501</v>
      </c>
      <c r="BF45" s="2">
        <v>2584</v>
      </c>
    </row>
    <row r="46" spans="1:58" x14ac:dyDescent="0.2">
      <c r="A46" s="1">
        <v>44</v>
      </c>
      <c r="B46">
        <v>10</v>
      </c>
      <c r="C46">
        <v>11</v>
      </c>
      <c r="D46" s="2">
        <v>3</v>
      </c>
      <c r="E46" s="2">
        <v>2</v>
      </c>
      <c r="F46" s="2">
        <v>4</v>
      </c>
      <c r="G46" s="2"/>
      <c r="H46" s="2"/>
      <c r="I46" s="2">
        <v>5</v>
      </c>
      <c r="J46" s="2">
        <v>17</v>
      </c>
      <c r="K46" s="2">
        <v>42</v>
      </c>
      <c r="L46" s="2">
        <v>67</v>
      </c>
      <c r="M46" s="2">
        <v>94</v>
      </c>
      <c r="N46" s="2">
        <v>121</v>
      </c>
      <c r="O46" s="2">
        <v>149</v>
      </c>
      <c r="P46" s="2">
        <v>178</v>
      </c>
      <c r="Q46" s="2">
        <v>208</v>
      </c>
      <c r="R46" s="2">
        <v>238</v>
      </c>
      <c r="S46" s="2">
        <v>268</v>
      </c>
      <c r="T46" s="2">
        <v>298</v>
      </c>
      <c r="U46" s="2">
        <v>329</v>
      </c>
      <c r="V46" s="2">
        <v>363</v>
      </c>
      <c r="W46" s="2">
        <v>398</v>
      </c>
      <c r="X46" s="2">
        <v>438</v>
      </c>
      <c r="Y46" s="2">
        <v>481</v>
      </c>
      <c r="Z46" s="2">
        <v>526</v>
      </c>
      <c r="AA46" s="2">
        <v>573</v>
      </c>
      <c r="AB46" s="2">
        <v>621</v>
      </c>
      <c r="AC46" s="2">
        <v>670</v>
      </c>
      <c r="AD46" s="2">
        <v>720</v>
      </c>
      <c r="AE46" s="2">
        <v>770</v>
      </c>
      <c r="AF46" s="2">
        <v>821</v>
      </c>
      <c r="AG46" s="2">
        <v>874</v>
      </c>
      <c r="AH46" s="2">
        <v>927</v>
      </c>
      <c r="AI46" s="2">
        <v>982</v>
      </c>
      <c r="AJ46" s="2">
        <v>1038</v>
      </c>
      <c r="AK46" s="2">
        <v>1095</v>
      </c>
      <c r="AL46" s="2">
        <v>1152</v>
      </c>
      <c r="AM46" s="2">
        <v>1211</v>
      </c>
      <c r="AN46" s="2">
        <v>1271</v>
      </c>
      <c r="AO46" s="2">
        <v>1332</v>
      </c>
      <c r="AP46" s="2">
        <v>1394</v>
      </c>
      <c r="AQ46" s="2">
        <v>1457</v>
      </c>
      <c r="AR46" s="2">
        <v>1521</v>
      </c>
      <c r="AS46" s="2">
        <v>1586</v>
      </c>
      <c r="AT46" s="2">
        <v>1651</v>
      </c>
      <c r="AU46" s="2">
        <v>1717</v>
      </c>
      <c r="AV46" s="2">
        <v>1785</v>
      </c>
      <c r="AW46" s="2">
        <v>1854</v>
      </c>
      <c r="AX46" s="2">
        <v>1925</v>
      </c>
      <c r="AY46" s="2">
        <v>1997</v>
      </c>
      <c r="AZ46" s="2">
        <v>2070</v>
      </c>
      <c r="BA46" s="2">
        <v>2144</v>
      </c>
      <c r="BB46" s="2">
        <v>2218</v>
      </c>
      <c r="BC46" s="2">
        <v>2293</v>
      </c>
      <c r="BD46" s="2">
        <v>2369</v>
      </c>
      <c r="BE46" s="2">
        <v>2447</v>
      </c>
      <c r="BF46" s="2">
        <v>2529</v>
      </c>
    </row>
    <row r="47" spans="1:58" x14ac:dyDescent="0.2">
      <c r="A47" s="1">
        <v>45</v>
      </c>
      <c r="B47">
        <v>10.5</v>
      </c>
      <c r="C47">
        <v>20.5</v>
      </c>
      <c r="D47" s="2">
        <v>4</v>
      </c>
      <c r="E47" s="2">
        <v>6</v>
      </c>
      <c r="F47" s="2">
        <v>5</v>
      </c>
      <c r="G47" s="2"/>
      <c r="H47" s="2"/>
      <c r="I47" s="2">
        <v>3</v>
      </c>
      <c r="J47" s="2">
        <v>12</v>
      </c>
      <c r="K47" s="2">
        <v>34</v>
      </c>
      <c r="L47" s="2">
        <v>56</v>
      </c>
      <c r="M47" s="2">
        <v>80</v>
      </c>
      <c r="N47" s="2">
        <v>104</v>
      </c>
      <c r="O47" s="2">
        <v>130</v>
      </c>
      <c r="P47" s="2">
        <v>157</v>
      </c>
      <c r="Q47" s="2">
        <v>184</v>
      </c>
      <c r="R47" s="2">
        <v>212</v>
      </c>
      <c r="S47" s="2">
        <v>240</v>
      </c>
      <c r="T47" s="2">
        <v>269</v>
      </c>
      <c r="U47" s="2">
        <v>298</v>
      </c>
      <c r="V47" s="2">
        <v>330</v>
      </c>
      <c r="W47" s="2">
        <v>364</v>
      </c>
      <c r="X47" s="2">
        <v>404</v>
      </c>
      <c r="Y47" s="2">
        <v>447</v>
      </c>
      <c r="Z47" s="2">
        <v>492</v>
      </c>
      <c r="AA47" s="2">
        <v>537</v>
      </c>
      <c r="AB47" s="2">
        <v>582</v>
      </c>
      <c r="AC47" s="2">
        <v>629</v>
      </c>
      <c r="AD47" s="2">
        <v>677</v>
      </c>
      <c r="AE47" s="2">
        <v>725</v>
      </c>
      <c r="AF47" s="2">
        <v>775</v>
      </c>
      <c r="AG47" s="2">
        <v>826</v>
      </c>
      <c r="AH47" s="2">
        <v>877</v>
      </c>
      <c r="AI47" s="2">
        <v>929</v>
      </c>
      <c r="AJ47" s="2">
        <v>982</v>
      </c>
      <c r="AK47" s="2">
        <v>1036</v>
      </c>
      <c r="AL47" s="2">
        <v>1091</v>
      </c>
      <c r="AM47" s="2">
        <v>1147</v>
      </c>
      <c r="AN47" s="2">
        <v>1205</v>
      </c>
      <c r="AO47" s="2">
        <v>1264</v>
      </c>
      <c r="AP47" s="2">
        <v>1324</v>
      </c>
      <c r="AQ47" s="2">
        <v>1385</v>
      </c>
      <c r="AR47" s="2">
        <v>1446</v>
      </c>
      <c r="AS47" s="2">
        <v>1508</v>
      </c>
      <c r="AT47" s="2">
        <v>1571</v>
      </c>
      <c r="AU47" s="2">
        <v>1634</v>
      </c>
      <c r="AV47" s="2">
        <v>1699</v>
      </c>
      <c r="AW47" s="2">
        <v>1766</v>
      </c>
      <c r="AX47" s="2">
        <v>1835</v>
      </c>
      <c r="AY47" s="2">
        <v>1905</v>
      </c>
      <c r="AZ47" s="2">
        <v>1975</v>
      </c>
      <c r="BA47" s="2">
        <v>2046</v>
      </c>
      <c r="BB47" s="2">
        <v>2118</v>
      </c>
      <c r="BC47" s="2">
        <v>2190</v>
      </c>
      <c r="BD47" s="2">
        <v>2264</v>
      </c>
      <c r="BE47" s="2">
        <v>2339</v>
      </c>
      <c r="BF47" s="2">
        <v>2418</v>
      </c>
    </row>
    <row r="48" spans="1:58" x14ac:dyDescent="0.2">
      <c r="A48" s="1">
        <v>46</v>
      </c>
      <c r="B48">
        <v>22.5</v>
      </c>
      <c r="C48">
        <v>21</v>
      </c>
      <c r="D48" s="2">
        <v>6</v>
      </c>
      <c r="E48" s="2">
        <v>6</v>
      </c>
      <c r="F48" s="2">
        <v>6</v>
      </c>
      <c r="G48" s="2"/>
      <c r="H48" s="2"/>
      <c r="I48" s="2">
        <v>2</v>
      </c>
      <c r="J48" s="2">
        <v>7</v>
      </c>
      <c r="K48" s="2">
        <v>27</v>
      </c>
      <c r="L48" s="2">
        <v>48</v>
      </c>
      <c r="M48" s="2">
        <v>69</v>
      </c>
      <c r="N48" s="2">
        <v>91</v>
      </c>
      <c r="O48" s="2">
        <v>113</v>
      </c>
      <c r="P48" s="2">
        <v>136</v>
      </c>
      <c r="Q48" s="2">
        <v>160</v>
      </c>
      <c r="R48" s="2">
        <v>184</v>
      </c>
      <c r="S48" s="2">
        <v>208</v>
      </c>
      <c r="T48" s="2">
        <v>233</v>
      </c>
      <c r="U48" s="2">
        <v>260</v>
      </c>
      <c r="V48" s="2">
        <v>287</v>
      </c>
      <c r="W48" s="2">
        <v>315</v>
      </c>
      <c r="X48" s="2">
        <v>350</v>
      </c>
      <c r="Y48" s="2">
        <v>388</v>
      </c>
      <c r="Z48" s="2">
        <v>428</v>
      </c>
      <c r="AA48" s="2">
        <v>468</v>
      </c>
      <c r="AB48" s="2">
        <v>510</v>
      </c>
      <c r="AC48" s="2">
        <v>552</v>
      </c>
      <c r="AD48" s="2">
        <v>595</v>
      </c>
      <c r="AE48" s="2">
        <v>640</v>
      </c>
      <c r="AF48" s="2">
        <v>685</v>
      </c>
      <c r="AG48" s="2">
        <v>731</v>
      </c>
      <c r="AH48" s="2">
        <v>777</v>
      </c>
      <c r="AI48" s="2">
        <v>827</v>
      </c>
      <c r="AJ48" s="2">
        <v>877</v>
      </c>
      <c r="AK48" s="2">
        <v>928</v>
      </c>
      <c r="AL48" s="2">
        <v>980</v>
      </c>
      <c r="AM48" s="2">
        <v>1033</v>
      </c>
      <c r="AN48" s="2">
        <v>1087</v>
      </c>
      <c r="AO48" s="2">
        <v>1142</v>
      </c>
      <c r="AP48" s="2">
        <v>1197</v>
      </c>
      <c r="AQ48" s="2">
        <v>1253</v>
      </c>
      <c r="AR48" s="2">
        <v>1310</v>
      </c>
      <c r="AS48" s="2">
        <v>1368</v>
      </c>
      <c r="AT48" s="2">
        <v>1426</v>
      </c>
      <c r="AU48" s="2">
        <v>1485</v>
      </c>
      <c r="AV48" s="2">
        <v>1546</v>
      </c>
      <c r="AW48" s="2">
        <v>1608</v>
      </c>
      <c r="AX48" s="2">
        <v>1672</v>
      </c>
      <c r="AY48" s="2">
        <v>1737</v>
      </c>
      <c r="AZ48" s="2">
        <v>1804</v>
      </c>
      <c r="BA48" s="2">
        <v>1871</v>
      </c>
      <c r="BB48" s="2">
        <v>1939</v>
      </c>
      <c r="BC48" s="2">
        <v>2007</v>
      </c>
      <c r="BD48" s="2">
        <v>2076</v>
      </c>
      <c r="BE48" s="2">
        <v>2148</v>
      </c>
      <c r="BF48" s="2">
        <v>2224</v>
      </c>
    </row>
    <row r="49" spans="1:58" x14ac:dyDescent="0.2">
      <c r="A49" s="1">
        <v>47</v>
      </c>
      <c r="B49">
        <v>21.5</v>
      </c>
      <c r="C49">
        <v>20.5</v>
      </c>
      <c r="D49" s="2">
        <v>6</v>
      </c>
      <c r="E49" s="2">
        <v>4</v>
      </c>
      <c r="F49" s="2">
        <v>5</v>
      </c>
      <c r="G49" s="2"/>
      <c r="H49" s="2"/>
      <c r="I49" s="2">
        <v>5</v>
      </c>
      <c r="J49" s="2">
        <v>15</v>
      </c>
      <c r="K49" s="2">
        <v>39</v>
      </c>
      <c r="L49" s="2">
        <v>64</v>
      </c>
      <c r="M49" s="2">
        <v>89</v>
      </c>
      <c r="N49" s="2">
        <v>115</v>
      </c>
      <c r="O49" s="2">
        <v>141</v>
      </c>
      <c r="P49" s="2">
        <v>167</v>
      </c>
      <c r="Q49" s="2">
        <v>194</v>
      </c>
      <c r="R49" s="2">
        <v>221</v>
      </c>
      <c r="S49" s="2">
        <v>249</v>
      </c>
      <c r="T49" s="2">
        <v>278</v>
      </c>
      <c r="U49" s="2">
        <v>308</v>
      </c>
      <c r="V49" s="2">
        <v>339</v>
      </c>
      <c r="W49" s="2">
        <v>371</v>
      </c>
      <c r="X49" s="2">
        <v>406</v>
      </c>
      <c r="Y49" s="2">
        <v>444</v>
      </c>
      <c r="Z49" s="2">
        <v>484</v>
      </c>
      <c r="AA49" s="2">
        <v>527</v>
      </c>
      <c r="AB49" s="2">
        <v>572</v>
      </c>
      <c r="AC49" s="2">
        <v>618</v>
      </c>
      <c r="AD49" s="2">
        <v>664</v>
      </c>
      <c r="AE49" s="2">
        <v>710</v>
      </c>
      <c r="AF49" s="2">
        <v>759</v>
      </c>
      <c r="AG49" s="2">
        <v>808</v>
      </c>
      <c r="AH49" s="2">
        <v>858</v>
      </c>
      <c r="AI49" s="2">
        <v>911</v>
      </c>
      <c r="AJ49" s="2">
        <v>966</v>
      </c>
      <c r="AK49" s="2">
        <v>1022</v>
      </c>
      <c r="AL49" s="2">
        <v>1078</v>
      </c>
      <c r="AM49" s="2">
        <v>1135</v>
      </c>
      <c r="AN49" s="2">
        <v>1193</v>
      </c>
      <c r="AO49" s="2">
        <v>1252</v>
      </c>
      <c r="AP49" s="2">
        <v>1312</v>
      </c>
      <c r="AQ49" s="2">
        <v>1372</v>
      </c>
      <c r="AR49" s="2">
        <v>1433</v>
      </c>
      <c r="AS49" s="2">
        <v>1495</v>
      </c>
      <c r="AT49" s="2">
        <v>1557</v>
      </c>
      <c r="AU49" s="2">
        <v>1620</v>
      </c>
      <c r="AV49" s="2">
        <v>1685</v>
      </c>
      <c r="AW49" s="2">
        <v>1750</v>
      </c>
      <c r="AX49" s="2">
        <v>1817</v>
      </c>
      <c r="AY49" s="2">
        <v>1885</v>
      </c>
      <c r="AZ49" s="2">
        <v>1955</v>
      </c>
      <c r="BA49" s="2">
        <v>2027</v>
      </c>
      <c r="BB49" s="2">
        <v>2099</v>
      </c>
      <c r="BC49" s="2">
        <v>2171</v>
      </c>
      <c r="BD49" s="2">
        <v>2244</v>
      </c>
      <c r="BE49" s="2">
        <v>2321</v>
      </c>
      <c r="BF49" s="2">
        <v>2402</v>
      </c>
    </row>
    <row r="50" spans="1:58" x14ac:dyDescent="0.2">
      <c r="A50" s="1">
        <v>48</v>
      </c>
      <c r="B50">
        <v>25</v>
      </c>
      <c r="C50">
        <v>23.5</v>
      </c>
      <c r="D50" s="2">
        <v>6</v>
      </c>
      <c r="E50" s="2">
        <v>6</v>
      </c>
      <c r="F50" s="2">
        <v>5</v>
      </c>
      <c r="G50" s="2"/>
      <c r="H50" s="2"/>
      <c r="I50" s="2">
        <v>5</v>
      </c>
      <c r="J50" s="2">
        <v>12</v>
      </c>
      <c r="K50" s="2">
        <v>29</v>
      </c>
      <c r="L50" s="2">
        <v>47</v>
      </c>
      <c r="M50" s="2">
        <v>66</v>
      </c>
      <c r="N50" s="2">
        <v>85</v>
      </c>
      <c r="O50" s="2">
        <v>105</v>
      </c>
      <c r="P50" s="2">
        <v>127</v>
      </c>
      <c r="Q50" s="2">
        <v>149</v>
      </c>
      <c r="R50" s="2">
        <v>172</v>
      </c>
      <c r="S50" s="2">
        <v>195</v>
      </c>
      <c r="T50" s="2">
        <v>219</v>
      </c>
      <c r="U50" s="2">
        <v>245</v>
      </c>
      <c r="V50" s="2">
        <v>271</v>
      </c>
      <c r="W50" s="2">
        <v>301</v>
      </c>
      <c r="X50" s="2">
        <v>331</v>
      </c>
      <c r="Y50" s="2">
        <v>364</v>
      </c>
      <c r="Z50" s="2">
        <v>399</v>
      </c>
      <c r="AA50" s="2">
        <v>435</v>
      </c>
      <c r="AB50" s="2">
        <v>474</v>
      </c>
      <c r="AC50" s="2">
        <v>513</v>
      </c>
      <c r="AD50" s="2">
        <v>553</v>
      </c>
      <c r="AE50" s="2">
        <v>593</v>
      </c>
      <c r="AF50" s="2">
        <v>635</v>
      </c>
      <c r="AG50" s="2">
        <v>677</v>
      </c>
      <c r="AH50" s="2">
        <v>722</v>
      </c>
      <c r="AI50" s="2">
        <v>768</v>
      </c>
      <c r="AJ50" s="2">
        <v>818</v>
      </c>
      <c r="AK50" s="2">
        <v>868</v>
      </c>
      <c r="AL50" s="2">
        <v>918</v>
      </c>
      <c r="AM50" s="2">
        <v>970</v>
      </c>
      <c r="AN50" s="2">
        <v>1022</v>
      </c>
      <c r="AO50" s="2">
        <v>1075</v>
      </c>
      <c r="AP50" s="2">
        <v>1129</v>
      </c>
      <c r="AQ50" s="2">
        <v>1183</v>
      </c>
      <c r="AR50" s="2">
        <v>1238</v>
      </c>
      <c r="AS50" s="2">
        <v>1293</v>
      </c>
      <c r="AT50" s="2">
        <v>1349</v>
      </c>
      <c r="AU50" s="2">
        <v>1405</v>
      </c>
      <c r="AV50" s="2">
        <v>1463</v>
      </c>
      <c r="AW50" s="2">
        <v>1521</v>
      </c>
      <c r="AX50" s="2">
        <v>1581</v>
      </c>
      <c r="AY50" s="2">
        <v>1642</v>
      </c>
      <c r="AZ50" s="2">
        <v>1705</v>
      </c>
      <c r="BA50" s="2">
        <v>1770</v>
      </c>
      <c r="BB50" s="2">
        <v>1836</v>
      </c>
      <c r="BC50" s="2">
        <v>1902</v>
      </c>
      <c r="BD50" s="2">
        <v>1969</v>
      </c>
      <c r="BE50" s="2">
        <v>2040</v>
      </c>
      <c r="BF50" s="2">
        <v>2115</v>
      </c>
    </row>
    <row r="51" spans="1:58" x14ac:dyDescent="0.2">
      <c r="A51" s="1">
        <v>49</v>
      </c>
      <c r="B51">
        <v>24.5</v>
      </c>
      <c r="C51">
        <v>21.5</v>
      </c>
      <c r="D51" s="2">
        <v>6</v>
      </c>
      <c r="E51" s="2">
        <v>6</v>
      </c>
      <c r="F51" s="2">
        <v>6</v>
      </c>
      <c r="G51" s="2"/>
      <c r="H51" s="2"/>
      <c r="I51" s="2">
        <v>8</v>
      </c>
      <c r="J51" s="2">
        <v>18</v>
      </c>
      <c r="K51" s="2">
        <v>39</v>
      </c>
      <c r="L51" s="2">
        <v>60</v>
      </c>
      <c r="M51" s="2">
        <v>82</v>
      </c>
      <c r="N51" s="2">
        <v>105</v>
      </c>
      <c r="O51" s="2">
        <v>129</v>
      </c>
      <c r="P51" s="2">
        <v>154</v>
      </c>
      <c r="Q51" s="2">
        <v>180</v>
      </c>
      <c r="R51" s="2">
        <v>207</v>
      </c>
      <c r="S51" s="2">
        <v>235</v>
      </c>
      <c r="T51" s="2">
        <v>263</v>
      </c>
      <c r="U51" s="2">
        <v>293</v>
      </c>
      <c r="V51" s="2">
        <v>323</v>
      </c>
      <c r="W51" s="2">
        <v>354</v>
      </c>
      <c r="X51" s="2">
        <v>387</v>
      </c>
      <c r="Y51" s="2">
        <v>421</v>
      </c>
      <c r="Z51" s="2">
        <v>456</v>
      </c>
      <c r="AA51" s="2">
        <v>496</v>
      </c>
      <c r="AB51" s="2">
        <v>536</v>
      </c>
      <c r="AC51" s="2">
        <v>578</v>
      </c>
      <c r="AD51" s="2">
        <v>621</v>
      </c>
      <c r="AE51" s="2">
        <v>666</v>
      </c>
      <c r="AF51" s="2">
        <v>711</v>
      </c>
      <c r="AG51" s="2">
        <v>757</v>
      </c>
      <c r="AH51" s="2">
        <v>806</v>
      </c>
      <c r="AI51" s="2">
        <v>856</v>
      </c>
      <c r="AJ51" s="2">
        <v>910</v>
      </c>
      <c r="AK51" s="2">
        <v>965</v>
      </c>
      <c r="AL51" s="2">
        <v>1020</v>
      </c>
      <c r="AM51" s="2">
        <v>1076</v>
      </c>
      <c r="AN51" s="2">
        <v>1133</v>
      </c>
      <c r="AO51" s="2">
        <v>1191</v>
      </c>
      <c r="AP51" s="2">
        <v>1249</v>
      </c>
      <c r="AQ51" s="2">
        <v>1307</v>
      </c>
      <c r="AR51" s="2">
        <v>1366</v>
      </c>
      <c r="AS51" s="2">
        <v>1426</v>
      </c>
      <c r="AT51" s="2">
        <v>1486</v>
      </c>
      <c r="AU51" s="2">
        <v>1547</v>
      </c>
      <c r="AV51" s="2">
        <v>1608</v>
      </c>
      <c r="AW51" s="2">
        <v>1670</v>
      </c>
      <c r="AX51" s="2">
        <v>1733</v>
      </c>
      <c r="AY51" s="2">
        <v>1797</v>
      </c>
      <c r="AZ51" s="2">
        <v>1864</v>
      </c>
      <c r="BA51" s="2">
        <v>1932</v>
      </c>
      <c r="BB51" s="2">
        <v>2003</v>
      </c>
      <c r="BC51" s="2">
        <v>2074</v>
      </c>
      <c r="BD51" s="2">
        <v>2146</v>
      </c>
      <c r="BE51" s="2">
        <v>2222</v>
      </c>
      <c r="BF51" s="2">
        <v>2302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2E3463-3EDE-384F-968A-0B8469024A09}">
  <dimension ref="A1:G15"/>
  <sheetViews>
    <sheetView zoomScale="185" workbookViewId="0">
      <selection activeCell="B16" sqref="B16"/>
    </sheetView>
  </sheetViews>
  <sheetFormatPr baseColWidth="10" defaultRowHeight="16" x14ac:dyDescent="0.2"/>
  <sheetData>
    <row r="1" spans="1:7" x14ac:dyDescent="0.2">
      <c r="A1" t="s">
        <v>48</v>
      </c>
    </row>
    <row r="3" spans="1:7" x14ac:dyDescent="0.2">
      <c r="A3" t="s">
        <v>0</v>
      </c>
      <c r="B3" t="s">
        <v>4</v>
      </c>
      <c r="C3" t="s">
        <v>49</v>
      </c>
      <c r="D3" t="s">
        <v>3</v>
      </c>
      <c r="E3" t="s">
        <v>7</v>
      </c>
      <c r="F3" t="s">
        <v>51</v>
      </c>
      <c r="G3" t="s">
        <v>53</v>
      </c>
    </row>
    <row r="4" spans="1:7" x14ac:dyDescent="0.2">
      <c r="A4" t="s">
        <v>1</v>
      </c>
      <c r="B4" t="s">
        <v>5</v>
      </c>
      <c r="C4">
        <v>1000</v>
      </c>
      <c r="D4">
        <v>7533</v>
      </c>
      <c r="E4">
        <v>5379</v>
      </c>
      <c r="F4" s="14">
        <v>6497</v>
      </c>
    </row>
    <row r="5" spans="1:7" x14ac:dyDescent="0.2">
      <c r="B5" t="s">
        <v>52</v>
      </c>
      <c r="C5" t="s">
        <v>50</v>
      </c>
      <c r="D5">
        <v>6580</v>
      </c>
      <c r="G5">
        <f>(D5-F4)/D5</f>
        <v>1.2613981762917933E-2</v>
      </c>
    </row>
    <row r="7" spans="1:7" x14ac:dyDescent="0.2">
      <c r="A7" t="s">
        <v>54</v>
      </c>
      <c r="B7" t="s">
        <v>5</v>
      </c>
      <c r="C7">
        <v>1000</v>
      </c>
      <c r="D7">
        <v>7456</v>
      </c>
      <c r="E7">
        <v>6696</v>
      </c>
      <c r="F7">
        <v>6696</v>
      </c>
      <c r="G7">
        <f>(D7-E7)/D7</f>
        <v>0.10193133047210301</v>
      </c>
    </row>
    <row r="8" spans="1:7" x14ac:dyDescent="0.2">
      <c r="B8" t="s">
        <v>52</v>
      </c>
      <c r="C8" t="s">
        <v>55</v>
      </c>
      <c r="D8">
        <v>6823</v>
      </c>
      <c r="G8">
        <f>(D8-F7)/D8</f>
        <v>1.8613513117397038E-2</v>
      </c>
    </row>
    <row r="10" spans="1:7" x14ac:dyDescent="0.2">
      <c r="A10" t="s">
        <v>56</v>
      </c>
      <c r="B10" t="s">
        <v>5</v>
      </c>
      <c r="C10">
        <v>1000</v>
      </c>
      <c r="D10">
        <v>6102</v>
      </c>
      <c r="E10">
        <v>4615</v>
      </c>
      <c r="F10">
        <v>4615</v>
      </c>
      <c r="G10">
        <f>(D10-E10)/D10</f>
        <v>0.24369059324811537</v>
      </c>
    </row>
    <row r="11" spans="1:7" x14ac:dyDescent="0.2">
      <c r="B11" t="s">
        <v>52</v>
      </c>
      <c r="C11" t="s">
        <v>58</v>
      </c>
      <c r="D11">
        <v>4832</v>
      </c>
      <c r="G11">
        <f>(D11-F10)/D11</f>
        <v>4.4908940397350994E-2</v>
      </c>
    </row>
    <row r="13" spans="1:7" x14ac:dyDescent="0.2">
      <c r="A13" t="s">
        <v>57</v>
      </c>
      <c r="B13" t="s">
        <v>5</v>
      </c>
      <c r="C13">
        <v>1000</v>
      </c>
      <c r="D13">
        <v>7848</v>
      </c>
      <c r="E13">
        <v>6058</v>
      </c>
      <c r="F13">
        <v>6058</v>
      </c>
      <c r="G13">
        <f>(D13-E13)/D13</f>
        <v>0.22808358817533128</v>
      </c>
    </row>
    <row r="14" spans="1:7" x14ac:dyDescent="0.2">
      <c r="B14" t="s">
        <v>52</v>
      </c>
      <c r="C14" t="s">
        <v>59</v>
      </c>
      <c r="D14">
        <v>6325</v>
      </c>
      <c r="E14">
        <v>5487</v>
      </c>
      <c r="G14">
        <f>(D14-F13)/D14</f>
        <v>4.2213438735177869E-2</v>
      </c>
    </row>
    <row r="15" spans="1:7" x14ac:dyDescent="0.2">
      <c r="C15" t="s">
        <v>60</v>
      </c>
      <c r="D15">
        <v>6300</v>
      </c>
      <c r="G15">
        <f>(D15-F13)/D15</f>
        <v>3.8412698412698412E-2</v>
      </c>
    </row>
  </sheetData>
  <pageMargins left="0.7" right="0.7" top="0.75" bottom="0.75" header="0.3" footer="0.3"/>
  <pageSetup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DA70D2-218E-7C45-B91F-842223E7C0E9}">
  <dimension ref="A2:L11"/>
  <sheetViews>
    <sheetView zoomScale="150" workbookViewId="0">
      <selection activeCell="B10" sqref="B10"/>
    </sheetView>
  </sheetViews>
  <sheetFormatPr baseColWidth="10" defaultRowHeight="16" x14ac:dyDescent="0.2"/>
  <sheetData>
    <row r="2" spans="1:12" x14ac:dyDescent="0.2">
      <c r="A2" t="s">
        <v>0</v>
      </c>
      <c r="B2" t="s">
        <v>4</v>
      </c>
      <c r="C2" t="s">
        <v>49</v>
      </c>
      <c r="D2" t="s">
        <v>3</v>
      </c>
      <c r="E2" t="s">
        <v>7</v>
      </c>
    </row>
    <row r="3" spans="1:12" x14ac:dyDescent="0.2">
      <c r="A3" t="s">
        <v>1</v>
      </c>
      <c r="B3" t="s">
        <v>5</v>
      </c>
      <c r="C3">
        <v>1000</v>
      </c>
      <c r="D3">
        <v>7533</v>
      </c>
      <c r="E3">
        <v>5379</v>
      </c>
      <c r="F3">
        <f>(D3-E3)/D3</f>
        <v>0.28594185583432896</v>
      </c>
      <c r="L3" s="14"/>
    </row>
    <row r="4" spans="1:12" x14ac:dyDescent="0.2">
      <c r="A4" t="s">
        <v>54</v>
      </c>
      <c r="B4" t="s">
        <v>5</v>
      </c>
      <c r="C4">
        <v>1000</v>
      </c>
      <c r="D4">
        <v>7456</v>
      </c>
      <c r="E4">
        <v>6696</v>
      </c>
      <c r="F4">
        <f t="shared" ref="F4:F5" si="0">(D4-E4)/D4</f>
        <v>0.10193133047210301</v>
      </c>
    </row>
    <row r="5" spans="1:12" x14ac:dyDescent="0.2">
      <c r="A5" t="s">
        <v>56</v>
      </c>
      <c r="B5" t="s">
        <v>5</v>
      </c>
      <c r="C5">
        <v>1000</v>
      </c>
      <c r="D5">
        <v>6102</v>
      </c>
      <c r="E5">
        <v>4615</v>
      </c>
      <c r="F5">
        <f t="shared" si="0"/>
        <v>0.24369059324811537</v>
      </c>
    </row>
    <row r="11" spans="1:12" x14ac:dyDescent="0.2">
      <c r="I11" s="14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E67D06-8766-C646-A479-894FDFC7D5C9}">
  <dimension ref="A1:M20"/>
  <sheetViews>
    <sheetView zoomScale="181" workbookViewId="0">
      <selection activeCell="E20" sqref="E20"/>
    </sheetView>
  </sheetViews>
  <sheetFormatPr baseColWidth="10" defaultRowHeight="16" x14ac:dyDescent="0.2"/>
  <sheetData>
    <row r="1" spans="1:13" x14ac:dyDescent="0.2">
      <c r="A1" t="s">
        <v>0</v>
      </c>
      <c r="B1" t="s">
        <v>4</v>
      </c>
      <c r="C1" t="s">
        <v>49</v>
      </c>
      <c r="D1" t="s">
        <v>3</v>
      </c>
      <c r="E1" t="s">
        <v>7</v>
      </c>
      <c r="F1" t="s">
        <v>53</v>
      </c>
      <c r="G1" t="s">
        <v>61</v>
      </c>
      <c r="H1" t="s">
        <v>51</v>
      </c>
      <c r="I1" t="s">
        <v>63</v>
      </c>
      <c r="J1" s="20" t="s">
        <v>92</v>
      </c>
      <c r="K1" s="20" t="s">
        <v>53</v>
      </c>
      <c r="L1" t="s">
        <v>96</v>
      </c>
    </row>
    <row r="2" spans="1:13" x14ac:dyDescent="0.2">
      <c r="A2" t="s">
        <v>1</v>
      </c>
      <c r="B2" t="s">
        <v>5</v>
      </c>
      <c r="C2">
        <v>1000</v>
      </c>
      <c r="D2">
        <v>7533</v>
      </c>
      <c r="E2">
        <v>5379</v>
      </c>
      <c r="F2">
        <f>(D2-E2)/D2</f>
        <v>0.28594185583432896</v>
      </c>
      <c r="J2">
        <v>6392</v>
      </c>
      <c r="K2">
        <v>2.5500625782227698E-2</v>
      </c>
      <c r="L2">
        <v>541</v>
      </c>
      <c r="M2">
        <f>J2+L2+L3</f>
        <v>7454</v>
      </c>
    </row>
    <row r="3" spans="1:13" x14ac:dyDescent="0.2">
      <c r="B3" t="s">
        <v>65</v>
      </c>
      <c r="C3" t="s">
        <v>64</v>
      </c>
      <c r="D3">
        <v>7094</v>
      </c>
      <c r="E3">
        <v>6526</v>
      </c>
      <c r="F3">
        <f>(D3-E3)/D3</f>
        <v>8.0067662813645329E-2</v>
      </c>
      <c r="L3">
        <v>521</v>
      </c>
    </row>
    <row r="4" spans="1:13" x14ac:dyDescent="0.2">
      <c r="B4" t="s">
        <v>62</v>
      </c>
      <c r="C4" t="s">
        <v>64</v>
      </c>
      <c r="D4" s="15">
        <f>SUM(1891+1422+1871+1285+948)</f>
        <v>7417</v>
      </c>
    </row>
    <row r="5" spans="1:13" x14ac:dyDescent="0.2">
      <c r="B5" t="s">
        <v>62</v>
      </c>
      <c r="C5">
        <v>1000</v>
      </c>
      <c r="D5">
        <v>7351</v>
      </c>
      <c r="F5" s="16">
        <f>(D5-E2)/D5</f>
        <v>0.26826282138484558</v>
      </c>
    </row>
    <row r="7" spans="1:13" x14ac:dyDescent="0.2">
      <c r="A7" t="s">
        <v>54</v>
      </c>
      <c r="B7" t="s">
        <v>5</v>
      </c>
      <c r="C7">
        <v>1000</v>
      </c>
      <c r="D7">
        <v>7456</v>
      </c>
      <c r="E7">
        <v>6696</v>
      </c>
      <c r="F7">
        <f>(D7-E7)/D7</f>
        <v>0.10193133047210301</v>
      </c>
      <c r="J7">
        <v>6732</v>
      </c>
      <c r="K7">
        <v>0</v>
      </c>
      <c r="L7">
        <v>647</v>
      </c>
      <c r="M7">
        <f>J7+L7+L8</f>
        <v>8051</v>
      </c>
    </row>
    <row r="8" spans="1:13" x14ac:dyDescent="0.2">
      <c r="B8" t="s">
        <v>65</v>
      </c>
      <c r="C8" t="s">
        <v>64</v>
      </c>
      <c r="D8">
        <v>7402</v>
      </c>
      <c r="E8">
        <v>7210</v>
      </c>
      <c r="F8">
        <f>(D8-E8)/D8</f>
        <v>2.5938935422858685E-2</v>
      </c>
      <c r="L8">
        <v>672</v>
      </c>
    </row>
    <row r="9" spans="1:13" x14ac:dyDescent="0.2">
      <c r="B9" t="s">
        <v>62</v>
      </c>
      <c r="C9" t="s">
        <v>64</v>
      </c>
      <c r="D9" s="15">
        <f>SUM(3002,1482,1025,1194,852)</f>
        <v>7555</v>
      </c>
      <c r="G9" t="s">
        <v>66</v>
      </c>
    </row>
    <row r="10" spans="1:13" x14ac:dyDescent="0.2">
      <c r="B10" t="s">
        <v>62</v>
      </c>
      <c r="C10">
        <v>1000</v>
      </c>
      <c r="D10" s="15">
        <v>7532</v>
      </c>
      <c r="F10">
        <f>(D10-E7)/D10</f>
        <v>0.11099309612320765</v>
      </c>
    </row>
    <row r="12" spans="1:13" x14ac:dyDescent="0.2">
      <c r="A12" t="s">
        <v>56</v>
      </c>
      <c r="B12" t="s">
        <v>5</v>
      </c>
      <c r="C12">
        <v>1000</v>
      </c>
      <c r="D12">
        <v>6102</v>
      </c>
      <c r="E12">
        <v>4615</v>
      </c>
      <c r="F12">
        <f>(D12-E12)/D12</f>
        <v>0.24369059324811537</v>
      </c>
      <c r="J12">
        <v>4540</v>
      </c>
      <c r="K12">
        <v>0</v>
      </c>
      <c r="L12">
        <v>892</v>
      </c>
      <c r="M12">
        <f>J12+L12+L13</f>
        <v>6327</v>
      </c>
    </row>
    <row r="13" spans="1:13" x14ac:dyDescent="0.2">
      <c r="B13" t="s">
        <v>65</v>
      </c>
      <c r="C13" t="s">
        <v>64</v>
      </c>
      <c r="D13">
        <v>5709</v>
      </c>
      <c r="E13">
        <v>5195</v>
      </c>
      <c r="F13">
        <f>(D13-E13)/D13</f>
        <v>9.0033280784725875E-2</v>
      </c>
      <c r="L13">
        <v>895</v>
      </c>
    </row>
    <row r="14" spans="1:13" x14ac:dyDescent="0.2">
      <c r="B14" t="s">
        <v>62</v>
      </c>
      <c r="C14" t="s">
        <v>64</v>
      </c>
      <c r="D14" s="16">
        <f>SUM(1708,1600,1099,1465,257)</f>
        <v>6129</v>
      </c>
    </row>
    <row r="15" spans="1:13" x14ac:dyDescent="0.2">
      <c r="B15" t="s">
        <v>62</v>
      </c>
      <c r="C15">
        <v>1000</v>
      </c>
      <c r="D15">
        <v>6092</v>
      </c>
      <c r="F15">
        <f>(D15-E12)/D15</f>
        <v>0.24244911359159554</v>
      </c>
    </row>
    <row r="17" spans="1:13" x14ac:dyDescent="0.2">
      <c r="A17" t="s">
        <v>57</v>
      </c>
      <c r="B17" t="s">
        <v>5</v>
      </c>
      <c r="C17">
        <v>1000</v>
      </c>
      <c r="D17">
        <v>7848</v>
      </c>
      <c r="E17">
        <v>6058</v>
      </c>
      <c r="F17">
        <f>(D17-E17)/D17</f>
        <v>0.22808358817533128</v>
      </c>
      <c r="J17">
        <v>6261</v>
      </c>
      <c r="K17">
        <v>0</v>
      </c>
      <c r="L17">
        <v>1042</v>
      </c>
      <c r="M17">
        <f>J17+L17+L18</f>
        <v>8360</v>
      </c>
    </row>
    <row r="18" spans="1:13" x14ac:dyDescent="0.2">
      <c r="B18" t="s">
        <v>65</v>
      </c>
      <c r="C18" t="s">
        <v>64</v>
      </c>
      <c r="D18">
        <v>7544</v>
      </c>
      <c r="E18">
        <v>7068</v>
      </c>
      <c r="F18">
        <f>(D18-E18)/D18</f>
        <v>6.3096500530222699E-2</v>
      </c>
      <c r="L18">
        <v>1057</v>
      </c>
    </row>
    <row r="19" spans="1:13" x14ac:dyDescent="0.2">
      <c r="B19" t="s">
        <v>62</v>
      </c>
      <c r="C19" t="s">
        <v>67</v>
      </c>
      <c r="D19">
        <f>SUM(2005,1490,1828,1681,640)</f>
        <v>7644</v>
      </c>
    </row>
    <row r="20" spans="1:13" x14ac:dyDescent="0.2">
      <c r="B20" t="s">
        <v>62</v>
      </c>
      <c r="C20">
        <v>277</v>
      </c>
      <c r="D20">
        <v>7678</v>
      </c>
      <c r="F20">
        <f>(D20-E17)/D20</f>
        <v>0.21099244594946601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AE4293-1005-2643-854D-1C6A9EE963F3}">
  <dimension ref="A1:N24"/>
  <sheetViews>
    <sheetView zoomScale="172" workbookViewId="0">
      <selection activeCell="H1" sqref="H1"/>
    </sheetView>
  </sheetViews>
  <sheetFormatPr baseColWidth="10" defaultRowHeight="16" x14ac:dyDescent="0.2"/>
  <cols>
    <col min="1" max="1" width="18.5" bestFit="1" customWidth="1"/>
    <col min="2" max="2" width="15.83203125" bestFit="1" customWidth="1"/>
  </cols>
  <sheetData>
    <row r="1" spans="1:14" x14ac:dyDescent="0.2">
      <c r="A1" t="s">
        <v>0</v>
      </c>
      <c r="B1" t="s">
        <v>80</v>
      </c>
      <c r="C1" t="s">
        <v>78</v>
      </c>
      <c r="D1" t="s">
        <v>81</v>
      </c>
      <c r="E1" t="s">
        <v>79</v>
      </c>
      <c r="F1" t="s">
        <v>7</v>
      </c>
      <c r="M1" t="s">
        <v>71</v>
      </c>
      <c r="N1">
        <v>1000</v>
      </c>
    </row>
    <row r="2" spans="1:14" x14ac:dyDescent="0.2">
      <c r="A2" s="14" t="s">
        <v>72</v>
      </c>
      <c r="B2" t="s">
        <v>68</v>
      </c>
      <c r="C2">
        <v>7606</v>
      </c>
      <c r="E2">
        <v>7355</v>
      </c>
    </row>
    <row r="3" spans="1:14" x14ac:dyDescent="0.2">
      <c r="B3" t="s">
        <v>76</v>
      </c>
      <c r="C3">
        <v>7539</v>
      </c>
      <c r="E3">
        <v>6995</v>
      </c>
    </row>
    <row r="4" spans="1:14" x14ac:dyDescent="0.2">
      <c r="B4" t="s">
        <v>77</v>
      </c>
      <c r="C4">
        <v>7325</v>
      </c>
    </row>
    <row r="5" spans="1:14" x14ac:dyDescent="0.2">
      <c r="B5" t="s">
        <v>69</v>
      </c>
      <c r="C5">
        <v>7410</v>
      </c>
    </row>
    <row r="6" spans="1:14" x14ac:dyDescent="0.2">
      <c r="B6" t="s">
        <v>70</v>
      </c>
      <c r="C6">
        <v>7698</v>
      </c>
      <c r="D6">
        <v>7594</v>
      </c>
    </row>
    <row r="8" spans="1:14" x14ac:dyDescent="0.2">
      <c r="A8" t="s">
        <v>74</v>
      </c>
      <c r="B8" t="s">
        <v>68</v>
      </c>
      <c r="C8">
        <v>7574</v>
      </c>
    </row>
    <row r="9" spans="1:14" x14ac:dyDescent="0.2">
      <c r="B9" t="s">
        <v>76</v>
      </c>
      <c r="C9">
        <v>7219</v>
      </c>
      <c r="E9">
        <v>6971</v>
      </c>
    </row>
    <row r="10" spans="1:14" x14ac:dyDescent="0.2">
      <c r="B10" t="s">
        <v>77</v>
      </c>
      <c r="C10">
        <v>7176</v>
      </c>
    </row>
    <row r="11" spans="1:14" x14ac:dyDescent="0.2">
      <c r="B11" t="s">
        <v>69</v>
      </c>
      <c r="C11">
        <v>7546</v>
      </c>
      <c r="E11">
        <v>7530</v>
      </c>
    </row>
    <row r="12" spans="1:14" x14ac:dyDescent="0.2">
      <c r="B12" t="s">
        <v>70</v>
      </c>
      <c r="C12">
        <v>7575</v>
      </c>
      <c r="E12">
        <v>7560</v>
      </c>
    </row>
    <row r="14" spans="1:14" x14ac:dyDescent="0.2">
      <c r="A14" t="s">
        <v>73</v>
      </c>
      <c r="B14" t="s">
        <v>68</v>
      </c>
      <c r="C14">
        <v>5838</v>
      </c>
      <c r="E14">
        <v>5945</v>
      </c>
    </row>
    <row r="15" spans="1:14" x14ac:dyDescent="0.2">
      <c r="B15" t="s">
        <v>76</v>
      </c>
    </row>
    <row r="16" spans="1:14" x14ac:dyDescent="0.2">
      <c r="B16" t="s">
        <v>77</v>
      </c>
    </row>
    <row r="17" spans="1:2" x14ac:dyDescent="0.2">
      <c r="B17" t="s">
        <v>69</v>
      </c>
    </row>
    <row r="18" spans="1:2" x14ac:dyDescent="0.2">
      <c r="B18" t="s">
        <v>70</v>
      </c>
    </row>
    <row r="20" spans="1:2" x14ac:dyDescent="0.2">
      <c r="A20" t="s">
        <v>75</v>
      </c>
      <c r="B20" t="s">
        <v>68</v>
      </c>
    </row>
    <row r="21" spans="1:2" x14ac:dyDescent="0.2">
      <c r="B21" t="s">
        <v>76</v>
      </c>
    </row>
    <row r="22" spans="1:2" x14ac:dyDescent="0.2">
      <c r="B22" t="s">
        <v>77</v>
      </c>
    </row>
    <row r="23" spans="1:2" x14ac:dyDescent="0.2">
      <c r="B23" t="s">
        <v>69</v>
      </c>
    </row>
    <row r="24" spans="1:2" x14ac:dyDescent="0.2">
      <c r="B24" t="s">
        <v>70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482446-E7B3-724E-869A-EA139FEED607}">
  <dimension ref="A1:T24"/>
  <sheetViews>
    <sheetView tabSelected="1" zoomScale="135" zoomScaleNormal="160" workbookViewId="0">
      <selection activeCell="E15" sqref="E15"/>
    </sheetView>
  </sheetViews>
  <sheetFormatPr baseColWidth="10" defaultRowHeight="16" x14ac:dyDescent="0.2"/>
  <cols>
    <col min="1" max="1" width="18.5" bestFit="1" customWidth="1"/>
    <col min="2" max="2" width="15.83203125" bestFit="1" customWidth="1"/>
    <col min="3" max="3" width="13.83203125" bestFit="1" customWidth="1"/>
    <col min="4" max="4" width="11.1640625" style="22" customWidth="1"/>
    <col min="5" max="5" width="10.1640625" customWidth="1"/>
    <col min="8" max="8" width="14.5" bestFit="1" customWidth="1"/>
    <col min="9" max="9" width="13.1640625" bestFit="1" customWidth="1"/>
    <col min="10" max="10" width="14" bestFit="1" customWidth="1"/>
    <col min="11" max="11" width="13.33203125" bestFit="1" customWidth="1"/>
    <col min="12" max="13" width="13.33203125" customWidth="1"/>
    <col min="20" max="20" width="14.1640625" bestFit="1" customWidth="1"/>
    <col min="21" max="21" width="12" bestFit="1" customWidth="1"/>
  </cols>
  <sheetData>
    <row r="1" spans="1:20" x14ac:dyDescent="0.2">
      <c r="A1" t="s">
        <v>0</v>
      </c>
      <c r="B1" t="s">
        <v>123</v>
      </c>
      <c r="C1" t="s">
        <v>128</v>
      </c>
      <c r="D1" t="s">
        <v>129</v>
      </c>
      <c r="E1" t="s">
        <v>130</v>
      </c>
      <c r="G1" t="s">
        <v>83</v>
      </c>
      <c r="H1" t="s">
        <v>89</v>
      </c>
      <c r="I1" t="s">
        <v>84</v>
      </c>
      <c r="J1" t="s">
        <v>90</v>
      </c>
      <c r="K1" t="s">
        <v>91</v>
      </c>
      <c r="L1" t="s">
        <v>94</v>
      </c>
      <c r="M1" t="s">
        <v>95</v>
      </c>
      <c r="O1" s="17" t="s">
        <v>7</v>
      </c>
      <c r="P1" t="s">
        <v>86</v>
      </c>
      <c r="Q1" t="s">
        <v>88</v>
      </c>
      <c r="R1" t="s">
        <v>87</v>
      </c>
      <c r="T1" t="s">
        <v>82</v>
      </c>
    </row>
    <row r="2" spans="1:20" x14ac:dyDescent="0.2">
      <c r="A2" s="14" t="s">
        <v>93</v>
      </c>
      <c r="B2" t="s">
        <v>119</v>
      </c>
      <c r="C2">
        <v>7164</v>
      </c>
      <c r="D2" s="22">
        <f>C2*(1-E2)</f>
        <v>6378</v>
      </c>
      <c r="E2" s="21">
        <v>0.109715242881072</v>
      </c>
      <c r="G2" s="4">
        <v>7284</v>
      </c>
      <c r="H2">
        <v>7722</v>
      </c>
      <c r="I2">
        <v>7704</v>
      </c>
      <c r="J2">
        <v>7722</v>
      </c>
      <c r="K2">
        <v>7704</v>
      </c>
      <c r="L2">
        <v>6228</v>
      </c>
      <c r="M2">
        <v>1.4999999999999999E-2</v>
      </c>
      <c r="O2" s="18">
        <v>5324</v>
      </c>
      <c r="P2" s="4">
        <f>(G2-O2)/G2</f>
        <v>0.26908292147171886</v>
      </c>
      <c r="Q2">
        <f>(H2-O2)/H2</f>
        <v>0.31054131054131057</v>
      </c>
      <c r="R2">
        <f>(I2-O2)/I2</f>
        <v>0.30893042575285568</v>
      </c>
      <c r="T2" t="s">
        <v>85</v>
      </c>
    </row>
    <row r="3" spans="1:20" x14ac:dyDescent="0.2">
      <c r="B3" t="s">
        <v>76</v>
      </c>
      <c r="C3">
        <v>6709</v>
      </c>
      <c r="D3" s="22">
        <f>C3*(1-E3)</f>
        <v>5980.0000000000036</v>
      </c>
      <c r="E3" s="21">
        <v>0.10866000894321</v>
      </c>
      <c r="G3" s="4">
        <v>7017</v>
      </c>
      <c r="H3">
        <v>7120</v>
      </c>
      <c r="I3">
        <v>7582</v>
      </c>
      <c r="J3">
        <v>7266</v>
      </c>
      <c r="K3">
        <v>7182</v>
      </c>
      <c r="L3">
        <v>5915</v>
      </c>
      <c r="M3">
        <v>1.5970000000000002E-2</v>
      </c>
      <c r="O3" s="18">
        <v>4960</v>
      </c>
      <c r="P3" s="4">
        <f>(G3-O3)/G3</f>
        <v>0.29314521875445348</v>
      </c>
      <c r="Q3">
        <f>(H3-O3)/H3</f>
        <v>0.30337078651685395</v>
      </c>
      <c r="R3">
        <f>(I3-O3)/I3</f>
        <v>0.34581904510683198</v>
      </c>
    </row>
    <row r="4" spans="1:20" x14ac:dyDescent="0.2">
      <c r="B4" t="s">
        <v>77</v>
      </c>
      <c r="C4">
        <v>7135</v>
      </c>
      <c r="D4" s="22">
        <f>C4*(1-E4)</f>
        <v>6246.0000000000045</v>
      </c>
      <c r="E4" s="21">
        <v>0.124597056762438</v>
      </c>
      <c r="G4" t="s">
        <v>8</v>
      </c>
      <c r="H4">
        <v>7416</v>
      </c>
      <c r="I4">
        <v>7413</v>
      </c>
      <c r="J4" s="4">
        <v>7368</v>
      </c>
      <c r="K4">
        <v>7410</v>
      </c>
      <c r="O4" s="18" t="s">
        <v>8</v>
      </c>
      <c r="P4" t="e">
        <f>(G4-O4)/G4</f>
        <v>#VALUE!</v>
      </c>
      <c r="Q4" t="e">
        <f>(H4-O4)/H4</f>
        <v>#VALUE!</v>
      </c>
      <c r="R4" s="4" t="e">
        <f>(I4-O4)/I4</f>
        <v>#VALUE!</v>
      </c>
    </row>
    <row r="5" spans="1:20" x14ac:dyDescent="0.2">
      <c r="B5" t="s">
        <v>120</v>
      </c>
      <c r="C5">
        <v>7235</v>
      </c>
      <c r="D5" s="22">
        <f>C5*(1-E5)</f>
        <v>6486.0000000000045</v>
      </c>
      <c r="E5" s="21">
        <v>0.103524533517622</v>
      </c>
      <c r="G5" s="4">
        <v>7447</v>
      </c>
      <c r="H5">
        <v>7474</v>
      </c>
      <c r="I5">
        <v>7458</v>
      </c>
      <c r="J5">
        <v>7682</v>
      </c>
      <c r="K5">
        <v>7526</v>
      </c>
      <c r="O5" s="18">
        <v>5541</v>
      </c>
      <c r="P5" s="4">
        <f>(G5-O5)/G5</f>
        <v>0.25594199006311269</v>
      </c>
      <c r="Q5">
        <f>(H5-O5)/H5</f>
        <v>0.25862991704575861</v>
      </c>
      <c r="R5">
        <f>(I5-O5)/I5</f>
        <v>0.25703942075623493</v>
      </c>
    </row>
    <row r="6" spans="1:20" x14ac:dyDescent="0.2">
      <c r="B6" t="s">
        <v>121</v>
      </c>
      <c r="C6">
        <v>7154</v>
      </c>
      <c r="D6" s="22">
        <f>C6*(1-E6)</f>
        <v>6404.0000000000018</v>
      </c>
      <c r="E6" s="21">
        <v>0.10483645512999699</v>
      </c>
      <c r="G6" s="4">
        <v>7472</v>
      </c>
      <c r="H6">
        <v>7759</v>
      </c>
      <c r="I6">
        <v>7785</v>
      </c>
      <c r="J6">
        <v>7556</v>
      </c>
      <c r="K6">
        <v>7611</v>
      </c>
      <c r="O6" s="18">
        <v>5324</v>
      </c>
      <c r="P6" s="4">
        <f>(G6-O6)/G6</f>
        <v>0.28747323340471093</v>
      </c>
      <c r="Q6">
        <f>(H6-O6)/H6</f>
        <v>0.31382910168836192</v>
      </c>
      <c r="R6">
        <f>(I6-O6)/I6</f>
        <v>0.31612074502247911</v>
      </c>
    </row>
    <row r="7" spans="1:20" x14ac:dyDescent="0.2">
      <c r="E7" s="21"/>
      <c r="O7" s="18"/>
    </row>
    <row r="8" spans="1:20" x14ac:dyDescent="0.2">
      <c r="A8" t="s">
        <v>74</v>
      </c>
      <c r="B8" t="s">
        <v>119</v>
      </c>
      <c r="C8">
        <v>7253</v>
      </c>
      <c r="D8" s="22">
        <f>C8*(1-E8)</f>
        <v>6704</v>
      </c>
      <c r="E8" s="21">
        <v>7.5692816765476303E-2</v>
      </c>
      <c r="G8" s="4">
        <v>7310</v>
      </c>
      <c r="H8">
        <v>7753</v>
      </c>
      <c r="I8">
        <v>7496</v>
      </c>
      <c r="J8">
        <v>7753</v>
      </c>
      <c r="K8">
        <v>7496</v>
      </c>
      <c r="O8" s="18">
        <v>5702</v>
      </c>
      <c r="P8" s="4">
        <f>(G8-O8)/G8</f>
        <v>0.21997264021887825</v>
      </c>
      <c r="Q8">
        <f>(H8-O8)/H8</f>
        <v>0.26454275764220303</v>
      </c>
      <c r="R8">
        <f>(I8-O8)/I8</f>
        <v>0.23932764140875135</v>
      </c>
    </row>
    <row r="9" spans="1:20" x14ac:dyDescent="0.2">
      <c r="B9" t="s">
        <v>76</v>
      </c>
      <c r="C9">
        <v>6648</v>
      </c>
      <c r="D9" s="22">
        <f>C9*(1-E9)</f>
        <v>6341.0000000000009</v>
      </c>
      <c r="E9" s="21">
        <v>4.6179302045728003E-2</v>
      </c>
      <c r="G9" s="4">
        <v>6731</v>
      </c>
      <c r="H9">
        <v>6886</v>
      </c>
      <c r="I9">
        <v>7237</v>
      </c>
      <c r="J9">
        <v>6904</v>
      </c>
      <c r="K9">
        <v>6974</v>
      </c>
      <c r="O9" s="18">
        <v>5206</v>
      </c>
      <c r="P9" s="4">
        <f>(G9-O9)/G9</f>
        <v>0.22656366067449116</v>
      </c>
      <c r="Q9">
        <f>(H9-O9)/H9</f>
        <v>0.24397327911704908</v>
      </c>
      <c r="R9">
        <f>(I9-O9)/I9</f>
        <v>0.28064114964764403</v>
      </c>
    </row>
    <row r="10" spans="1:20" x14ac:dyDescent="0.2">
      <c r="B10" t="s">
        <v>77</v>
      </c>
      <c r="C10">
        <v>6995</v>
      </c>
      <c r="D10" s="22">
        <f>C10*(1-E10)</f>
        <v>6507</v>
      </c>
      <c r="E10" s="21">
        <v>6.97641172265904E-2</v>
      </c>
      <c r="G10">
        <v>7203</v>
      </c>
      <c r="H10" s="4">
        <v>7182</v>
      </c>
      <c r="I10">
        <v>7210</v>
      </c>
      <c r="J10">
        <v>7250</v>
      </c>
      <c r="K10">
        <v>7290</v>
      </c>
      <c r="O10" s="18">
        <v>5389</v>
      </c>
      <c r="P10">
        <f>(G10-O10)/G10</f>
        <v>0.25183951131472998</v>
      </c>
      <c r="Q10" s="4">
        <f>(H10-O10)/H10</f>
        <v>0.24965190754664437</v>
      </c>
      <c r="R10">
        <f>(I10-O10)/I10</f>
        <v>0.25256588072122055</v>
      </c>
    </row>
    <row r="11" spans="1:20" x14ac:dyDescent="0.2">
      <c r="B11" t="s">
        <v>120</v>
      </c>
      <c r="C11">
        <v>7381</v>
      </c>
      <c r="D11" s="22">
        <f>C11*(1-E11)</f>
        <v>6842.0000000000009</v>
      </c>
      <c r="E11" s="21">
        <v>7.3025335320417203E-2</v>
      </c>
      <c r="G11" s="4">
        <v>7451</v>
      </c>
      <c r="H11">
        <v>7537</v>
      </c>
      <c r="I11">
        <v>7532</v>
      </c>
      <c r="J11">
        <v>7681</v>
      </c>
      <c r="K11">
        <v>7820</v>
      </c>
      <c r="O11" s="18">
        <v>5837</v>
      </c>
      <c r="P11" s="4">
        <f>(G11-O11)/G11</f>
        <v>0.21661521943363307</v>
      </c>
      <c r="Q11">
        <f>(H11-O11)/H11</f>
        <v>0.22555393392596523</v>
      </c>
      <c r="R11">
        <f>(I11-O11)/I11</f>
        <v>0.22503983005841741</v>
      </c>
    </row>
    <row r="12" spans="1:20" x14ac:dyDescent="0.2">
      <c r="B12" t="s">
        <v>121</v>
      </c>
      <c r="C12">
        <v>7321</v>
      </c>
      <c r="D12" s="22">
        <f>C12*(1-E12)</f>
        <v>6538.0000000000055</v>
      </c>
      <c r="E12" s="21">
        <v>0.10695260210353701</v>
      </c>
      <c r="G12" s="4">
        <v>7509</v>
      </c>
      <c r="H12">
        <v>7718</v>
      </c>
      <c r="I12">
        <v>7638</v>
      </c>
      <c r="J12">
        <v>7577</v>
      </c>
      <c r="K12">
        <v>7612</v>
      </c>
      <c r="O12" s="18">
        <v>5614</v>
      </c>
      <c r="P12" s="4">
        <f>(G12-O12)/G12</f>
        <v>0.252363830070582</v>
      </c>
      <c r="Q12">
        <f>(H12-O12)/H12</f>
        <v>0.27260948432236332</v>
      </c>
      <c r="R12">
        <f>(I12-O12)/I12</f>
        <v>0.26499083529719825</v>
      </c>
    </row>
    <row r="13" spans="1:20" x14ac:dyDescent="0.2">
      <c r="E13" s="21"/>
      <c r="O13" s="18"/>
    </row>
    <row r="14" spans="1:20" x14ac:dyDescent="0.2">
      <c r="A14" t="s">
        <v>73</v>
      </c>
      <c r="B14" t="s">
        <v>119</v>
      </c>
      <c r="C14">
        <v>5744</v>
      </c>
      <c r="D14" s="22">
        <f>C14*(1-E14)</f>
        <v>5322.0000000000009</v>
      </c>
      <c r="E14" s="21">
        <v>7.3467966573816101E-2</v>
      </c>
      <c r="G14" s="4">
        <v>5826</v>
      </c>
      <c r="H14">
        <v>5838</v>
      </c>
      <c r="I14">
        <v>5851</v>
      </c>
      <c r="J14">
        <v>5838</v>
      </c>
      <c r="K14">
        <v>5851</v>
      </c>
      <c r="O14" s="18">
        <v>4761</v>
      </c>
      <c r="P14" s="4">
        <f>(G14-O14)/G14</f>
        <v>0.18280123583934088</v>
      </c>
      <c r="Q14">
        <f>(H14-O14)/H14</f>
        <v>0.18448098663926002</v>
      </c>
      <c r="R14">
        <f>(I14-O14)/I14</f>
        <v>0.18629294137754229</v>
      </c>
    </row>
    <row r="15" spans="1:20" x14ac:dyDescent="0.2">
      <c r="B15" t="s">
        <v>76</v>
      </c>
      <c r="C15">
        <v>5715</v>
      </c>
      <c r="D15" s="22">
        <f>C15*(1-E15)</f>
        <v>5185</v>
      </c>
      <c r="E15" s="21">
        <v>9.2738407699037601E-2</v>
      </c>
      <c r="G15">
        <v>5996</v>
      </c>
      <c r="H15" s="4">
        <v>5764</v>
      </c>
      <c r="I15">
        <v>6042</v>
      </c>
      <c r="J15">
        <v>5868</v>
      </c>
      <c r="K15">
        <v>5911</v>
      </c>
      <c r="O15" s="18">
        <v>4609</v>
      </c>
      <c r="P15">
        <f>(G15-O15)/G15</f>
        <v>0.23132088058705805</v>
      </c>
      <c r="Q15" s="4">
        <f>(H15-O15)/H15</f>
        <v>0.20038167938931298</v>
      </c>
      <c r="R15">
        <f>(I15-O15)/I15</f>
        <v>0.23717312148295266</v>
      </c>
    </row>
    <row r="16" spans="1:20" x14ac:dyDescent="0.2">
      <c r="B16" t="s">
        <v>77</v>
      </c>
      <c r="C16">
        <v>5725</v>
      </c>
      <c r="D16" s="22">
        <f>C16*(1-E16)</f>
        <v>5265</v>
      </c>
      <c r="E16" s="21">
        <v>8.0349344978165899E-2</v>
      </c>
      <c r="G16">
        <v>5818</v>
      </c>
      <c r="H16" s="4">
        <v>5807</v>
      </c>
      <c r="I16">
        <v>5856</v>
      </c>
      <c r="J16">
        <v>5902</v>
      </c>
      <c r="K16">
        <v>5879</v>
      </c>
      <c r="O16" s="18">
        <v>4643</v>
      </c>
      <c r="P16">
        <f>(G16-O16)/G16</f>
        <v>0.20195943623238227</v>
      </c>
      <c r="Q16" s="4">
        <f>(H16-O16)/H16</f>
        <v>0.20044773549164802</v>
      </c>
      <c r="R16">
        <f>(I16-O16)/I16</f>
        <v>0.20713797814207649</v>
      </c>
    </row>
    <row r="17" spans="1:18" x14ac:dyDescent="0.2">
      <c r="B17" t="s">
        <v>120</v>
      </c>
      <c r="C17">
        <v>5721</v>
      </c>
      <c r="D17" s="22">
        <f>C17*(1-E17)</f>
        <v>5249</v>
      </c>
      <c r="E17" s="21">
        <v>8.2503058905785701E-2</v>
      </c>
      <c r="G17">
        <v>5813</v>
      </c>
      <c r="H17" s="4">
        <v>5795</v>
      </c>
      <c r="I17">
        <v>5816</v>
      </c>
      <c r="J17">
        <v>5858</v>
      </c>
      <c r="K17">
        <v>5810</v>
      </c>
      <c r="O17" s="18">
        <v>4733</v>
      </c>
      <c r="P17">
        <f>(G17-O17)/G17</f>
        <v>0.18579046963702048</v>
      </c>
      <c r="Q17" s="4">
        <f>(H17-O17)/H17</f>
        <v>0.18326143226919758</v>
      </c>
      <c r="R17">
        <f>(I17-O17)/I17</f>
        <v>0.18621045392022009</v>
      </c>
    </row>
    <row r="18" spans="1:18" x14ac:dyDescent="0.2">
      <c r="B18" t="s">
        <v>121</v>
      </c>
      <c r="C18">
        <v>5593</v>
      </c>
      <c r="D18" s="22">
        <f>C18*(1-E18)</f>
        <v>5114</v>
      </c>
      <c r="E18" s="21">
        <v>8.5642767745396003E-2</v>
      </c>
      <c r="G18">
        <v>5671</v>
      </c>
      <c r="H18" s="4">
        <v>5653</v>
      </c>
      <c r="I18">
        <v>5654</v>
      </c>
      <c r="J18">
        <v>5751</v>
      </c>
      <c r="K18">
        <v>5757</v>
      </c>
      <c r="O18" s="18">
        <v>4533</v>
      </c>
      <c r="P18">
        <f>(G18-O18)/G18</f>
        <v>0.2006700758243696</v>
      </c>
      <c r="Q18" s="4">
        <f>(H18-O18)/H18</f>
        <v>0.19812488943923581</v>
      </c>
      <c r="R18">
        <f>(I18-O18)/I18</f>
        <v>0.19826671383091615</v>
      </c>
    </row>
    <row r="19" spans="1:18" x14ac:dyDescent="0.2">
      <c r="E19" s="21"/>
      <c r="O19" s="18"/>
    </row>
    <row r="20" spans="1:18" x14ac:dyDescent="0.2">
      <c r="A20" t="s">
        <v>75</v>
      </c>
      <c r="B20" t="s">
        <v>119</v>
      </c>
      <c r="C20">
        <v>7681</v>
      </c>
      <c r="D20" s="22">
        <f>C20*(1-E20)</f>
        <v>7262</v>
      </c>
      <c r="E20" s="21">
        <v>5.4550188777502902E-2</v>
      </c>
      <c r="G20" s="4">
        <v>7742</v>
      </c>
      <c r="H20">
        <v>7786</v>
      </c>
      <c r="I20">
        <v>7832</v>
      </c>
      <c r="J20">
        <v>7786</v>
      </c>
      <c r="K20">
        <v>7832</v>
      </c>
      <c r="O20" s="18">
        <v>6395</v>
      </c>
      <c r="P20" s="4">
        <f>(G20-O20)/G20</f>
        <v>0.17398605011624904</v>
      </c>
      <c r="Q20">
        <f>(H20-O20)/H20</f>
        <v>0.17865399434883122</v>
      </c>
      <c r="R20">
        <f>(I20-O20)/I20</f>
        <v>0.18347803881511746</v>
      </c>
    </row>
    <row r="21" spans="1:18" x14ac:dyDescent="0.2">
      <c r="B21" t="s">
        <v>76</v>
      </c>
      <c r="C21">
        <v>7145</v>
      </c>
      <c r="D21" s="22">
        <f>C21*(1-E21)</f>
        <v>6725.0000000000009</v>
      </c>
      <c r="E21" s="21">
        <v>5.8782365290412801E-2</v>
      </c>
      <c r="G21">
        <v>7202</v>
      </c>
      <c r="H21" s="4">
        <v>7197</v>
      </c>
      <c r="I21">
        <v>7426</v>
      </c>
      <c r="J21">
        <v>7259</v>
      </c>
      <c r="K21">
        <v>7222</v>
      </c>
      <c r="O21" s="18">
        <v>5696</v>
      </c>
      <c r="P21">
        <f>(G21-O21)/G21</f>
        <v>0.20910858094973619</v>
      </c>
      <c r="Q21" s="4">
        <f>(H21-O21)/H21</f>
        <v>0.20855912185632902</v>
      </c>
      <c r="R21">
        <f>(I21-O21)/I21</f>
        <v>0.23296525720441691</v>
      </c>
    </row>
    <row r="22" spans="1:18" x14ac:dyDescent="0.2">
      <c r="B22" t="s">
        <v>77</v>
      </c>
      <c r="C22">
        <v>7409</v>
      </c>
      <c r="D22" s="22">
        <f>C22*(1-E22)</f>
        <v>6960.0000000000009</v>
      </c>
      <c r="E22" s="21">
        <v>6.0601970576325999E-2</v>
      </c>
      <c r="G22" s="4">
        <v>7430</v>
      </c>
      <c r="H22">
        <v>7466</v>
      </c>
      <c r="I22">
        <v>7537</v>
      </c>
      <c r="J22">
        <v>7498</v>
      </c>
      <c r="K22">
        <v>7470</v>
      </c>
      <c r="O22" s="18">
        <v>6294</v>
      </c>
      <c r="P22" s="4">
        <f>(G22-O22)/G22</f>
        <v>0.15289367429340511</v>
      </c>
      <c r="Q22">
        <f>(H22-O22)/H22</f>
        <v>0.15697830163407447</v>
      </c>
      <c r="R22">
        <f>(I22-O22)/I22</f>
        <v>0.16491972933527929</v>
      </c>
    </row>
    <row r="23" spans="1:18" x14ac:dyDescent="0.2">
      <c r="B23" t="s">
        <v>120</v>
      </c>
      <c r="C23">
        <v>7736</v>
      </c>
      <c r="D23" s="22">
        <f>C23*(1-E23)</f>
        <v>7217</v>
      </c>
      <c r="E23" s="21">
        <v>6.7088934850051699E-2</v>
      </c>
      <c r="G23">
        <v>7840</v>
      </c>
      <c r="H23" s="4">
        <v>7806</v>
      </c>
      <c r="I23">
        <v>7799</v>
      </c>
      <c r="J23">
        <v>7943</v>
      </c>
      <c r="K23">
        <v>7834</v>
      </c>
      <c r="O23" s="18">
        <v>6349</v>
      </c>
      <c r="P23">
        <f>(G23-O23)/G23</f>
        <v>0.19017857142857142</v>
      </c>
      <c r="Q23" s="4">
        <f>(H23-O23)/H23</f>
        <v>0.18665129387650525</v>
      </c>
      <c r="R23">
        <f>(I23-O23)/I23</f>
        <v>0.18592127195794333</v>
      </c>
    </row>
    <row r="24" spans="1:18" x14ac:dyDescent="0.2">
      <c r="B24" t="s">
        <v>121</v>
      </c>
      <c r="C24">
        <v>7482</v>
      </c>
      <c r="D24" s="22">
        <f>C24*(1-E24)</f>
        <v>6993</v>
      </c>
      <c r="E24" s="21">
        <v>6.5356856455493106E-2</v>
      </c>
      <c r="G24" s="4">
        <v>7525</v>
      </c>
      <c r="H24">
        <v>7654</v>
      </c>
      <c r="I24">
        <v>7583</v>
      </c>
      <c r="J24">
        <v>7566</v>
      </c>
      <c r="K24">
        <v>7573</v>
      </c>
      <c r="O24" s="19">
        <v>6020</v>
      </c>
      <c r="P24" s="4">
        <f>(G24-O24)/G24</f>
        <v>0.2</v>
      </c>
      <c r="Q24">
        <f>(H24-O24)/H24</f>
        <v>0.21348314606741572</v>
      </c>
      <c r="R24">
        <f>(I24-O24)/I24</f>
        <v>0.20611895028352895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FCEF69-0377-6844-B158-DF2A4A19A8DA}">
  <dimension ref="A1:L25"/>
  <sheetViews>
    <sheetView topLeftCell="B1" zoomScale="184" workbookViewId="0">
      <selection activeCell="H3" sqref="H3"/>
    </sheetView>
  </sheetViews>
  <sheetFormatPr baseColWidth="10" defaultRowHeight="16" x14ac:dyDescent="0.2"/>
  <cols>
    <col min="1" max="1" width="18.5" bestFit="1" customWidth="1"/>
    <col min="2" max="2" width="15.83203125" bestFit="1" customWidth="1"/>
    <col min="3" max="3" width="14.5" customWidth="1"/>
    <col min="4" max="4" width="9" customWidth="1"/>
    <col min="5" max="7" width="10.33203125" customWidth="1"/>
    <col min="8" max="8" width="8" customWidth="1"/>
    <col min="9" max="9" width="10.1640625" customWidth="1"/>
    <col min="10" max="10" width="11.1640625" style="22" customWidth="1"/>
  </cols>
  <sheetData>
    <row r="1" spans="1:12" x14ac:dyDescent="0.2">
      <c r="A1" s="25" t="s">
        <v>124</v>
      </c>
      <c r="B1" s="25" t="s">
        <v>123</v>
      </c>
      <c r="C1" s="25" t="s">
        <v>128</v>
      </c>
      <c r="D1" s="25"/>
      <c r="E1" s="25" t="s">
        <v>125</v>
      </c>
      <c r="F1" s="23"/>
    </row>
    <row r="2" spans="1:12" x14ac:dyDescent="0.2">
      <c r="A2" s="25"/>
      <c r="B2" s="25"/>
      <c r="C2" t="s">
        <v>122</v>
      </c>
      <c r="D2" t="s">
        <v>131</v>
      </c>
      <c r="E2" s="25"/>
      <c r="F2" s="23"/>
      <c r="H2" t="s">
        <v>97</v>
      </c>
      <c r="I2" t="s">
        <v>53</v>
      </c>
      <c r="J2" t="s">
        <v>51</v>
      </c>
      <c r="L2" t="s">
        <v>132</v>
      </c>
    </row>
    <row r="3" spans="1:12" x14ac:dyDescent="0.2">
      <c r="A3" s="14" t="s">
        <v>93</v>
      </c>
      <c r="B3" t="s">
        <v>119</v>
      </c>
      <c r="C3">
        <v>7284</v>
      </c>
      <c r="D3">
        <v>7248</v>
      </c>
      <c r="E3" t="s">
        <v>116</v>
      </c>
      <c r="F3">
        <f>(C3-H3)/H3</f>
        <v>1.675041876046901E-2</v>
      </c>
      <c r="G3">
        <f>(D3-H3)/H3</f>
        <v>1.1725293132328308E-2</v>
      </c>
      <c r="H3">
        <v>7164</v>
      </c>
      <c r="I3" s="21">
        <v>0.109715242881072</v>
      </c>
      <c r="J3" s="22">
        <f>H3*(1-I3)</f>
        <v>6378</v>
      </c>
      <c r="L3">
        <v>7151</v>
      </c>
    </row>
    <row r="4" spans="1:12" x14ac:dyDescent="0.2">
      <c r="B4" t="s">
        <v>76</v>
      </c>
      <c r="C4">
        <v>7017</v>
      </c>
      <c r="D4">
        <v>6827</v>
      </c>
      <c r="E4" t="s">
        <v>112</v>
      </c>
      <c r="F4">
        <f t="shared" ref="F4:F25" si="0">(C4-H4)/H4</f>
        <v>4.5908481144730957E-2</v>
      </c>
      <c r="G4">
        <f>(D4-H4)/H4</f>
        <v>1.7588314204799522E-2</v>
      </c>
      <c r="H4">
        <v>6709</v>
      </c>
      <c r="I4" s="21">
        <v>0.10866000894321</v>
      </c>
      <c r="J4" s="22">
        <f t="shared" ref="J4:J25" si="1">H4*(1-I4)</f>
        <v>5980.0000000000036</v>
      </c>
    </row>
    <row r="5" spans="1:12" x14ac:dyDescent="0.2">
      <c r="B5" t="s">
        <v>77</v>
      </c>
      <c r="C5" t="s">
        <v>8</v>
      </c>
      <c r="D5" t="s">
        <v>8</v>
      </c>
      <c r="E5" t="s">
        <v>8</v>
      </c>
      <c r="F5" t="e">
        <f t="shared" si="0"/>
        <v>#VALUE!</v>
      </c>
      <c r="G5" t="e">
        <f>(D5-H5)/H5</f>
        <v>#VALUE!</v>
      </c>
      <c r="H5">
        <v>7135</v>
      </c>
      <c r="I5" s="21">
        <v>0.124597056762438</v>
      </c>
      <c r="J5" s="22">
        <f t="shared" si="1"/>
        <v>6246.0000000000045</v>
      </c>
    </row>
    <row r="6" spans="1:12" x14ac:dyDescent="0.2">
      <c r="B6" t="s">
        <v>120</v>
      </c>
      <c r="C6">
        <v>7447</v>
      </c>
      <c r="D6">
        <v>7378</v>
      </c>
      <c r="E6" t="s">
        <v>113</v>
      </c>
      <c r="F6">
        <f t="shared" si="0"/>
        <v>2.9302004146510022E-2</v>
      </c>
      <c r="G6">
        <f>(D6-H6)/H6</f>
        <v>1.9765031098825155E-2</v>
      </c>
      <c r="H6">
        <v>7235</v>
      </c>
      <c r="I6" s="21">
        <v>0.103524533517622</v>
      </c>
      <c r="J6" s="22">
        <f t="shared" si="1"/>
        <v>6486.0000000000045</v>
      </c>
    </row>
    <row r="7" spans="1:12" x14ac:dyDescent="0.2">
      <c r="B7" t="s">
        <v>121</v>
      </c>
      <c r="C7">
        <v>7472</v>
      </c>
      <c r="D7">
        <v>7365</v>
      </c>
      <c r="E7" t="s">
        <v>114</v>
      </c>
      <c r="F7">
        <f t="shared" si="0"/>
        <v>4.4450656975118817E-2</v>
      </c>
      <c r="G7">
        <f>(D7-H7)/H7</f>
        <v>2.9493989376572546E-2</v>
      </c>
      <c r="H7">
        <v>7154</v>
      </c>
      <c r="I7" s="21">
        <v>0.10483645512999699</v>
      </c>
      <c r="J7" s="22">
        <f t="shared" si="1"/>
        <v>6404.0000000000018</v>
      </c>
    </row>
    <row r="8" spans="1:12" x14ac:dyDescent="0.2">
      <c r="I8" s="21"/>
    </row>
    <row r="9" spans="1:12" x14ac:dyDescent="0.2">
      <c r="A9" t="s">
        <v>74</v>
      </c>
      <c r="B9" t="s">
        <v>119</v>
      </c>
      <c r="C9">
        <v>7310</v>
      </c>
      <c r="D9">
        <v>7307</v>
      </c>
      <c r="E9" t="s">
        <v>115</v>
      </c>
      <c r="F9">
        <f t="shared" si="0"/>
        <v>7.8588170412243214E-3</v>
      </c>
      <c r="G9">
        <f>(D9-H9)/H9</f>
        <v>7.4451950916861985E-3</v>
      </c>
      <c r="H9">
        <v>7253</v>
      </c>
      <c r="I9" s="21">
        <v>7.5692816765476303E-2</v>
      </c>
      <c r="J9" s="22">
        <f t="shared" si="1"/>
        <v>6704</v>
      </c>
    </row>
    <row r="10" spans="1:12" x14ac:dyDescent="0.2">
      <c r="B10" t="s">
        <v>76</v>
      </c>
      <c r="C10">
        <v>6731</v>
      </c>
      <c r="D10">
        <v>6689</v>
      </c>
      <c r="E10" t="s">
        <v>117</v>
      </c>
      <c r="F10">
        <f t="shared" si="0"/>
        <v>1.2484957882069795E-2</v>
      </c>
      <c r="G10">
        <f>(D10-H10)/H10</f>
        <v>6.1672683513838752E-3</v>
      </c>
      <c r="H10">
        <v>6648</v>
      </c>
      <c r="I10" s="21">
        <v>4.6179302045728003E-2</v>
      </c>
      <c r="J10" s="22">
        <f t="shared" si="1"/>
        <v>6341.0000000000009</v>
      </c>
    </row>
    <row r="11" spans="1:12" x14ac:dyDescent="0.2">
      <c r="B11" t="s">
        <v>77</v>
      </c>
      <c r="C11">
        <v>7203</v>
      </c>
      <c r="D11">
        <v>7124</v>
      </c>
      <c r="E11" t="s">
        <v>118</v>
      </c>
      <c r="F11">
        <f t="shared" si="0"/>
        <v>2.9735525375268048E-2</v>
      </c>
      <c r="G11">
        <f>(D11-H11)/H11</f>
        <v>1.8441744102930663E-2</v>
      </c>
      <c r="H11">
        <v>6995</v>
      </c>
      <c r="I11" s="21">
        <v>6.97641172265904E-2</v>
      </c>
      <c r="J11" s="22">
        <f t="shared" si="1"/>
        <v>6507</v>
      </c>
    </row>
    <row r="12" spans="1:12" x14ac:dyDescent="0.2">
      <c r="B12" t="s">
        <v>120</v>
      </c>
      <c r="C12">
        <v>7451</v>
      </c>
      <c r="D12">
        <v>7425</v>
      </c>
      <c r="E12" t="s">
        <v>126</v>
      </c>
      <c r="F12">
        <f t="shared" si="0"/>
        <v>9.4838097818723752E-3</v>
      </c>
      <c r="G12">
        <f>(D12-H12)/H12</f>
        <v>5.9612518628912071E-3</v>
      </c>
      <c r="H12">
        <v>7381</v>
      </c>
      <c r="I12" s="21">
        <v>7.3025335320417203E-2</v>
      </c>
      <c r="J12" s="22">
        <f t="shared" si="1"/>
        <v>6842.0000000000009</v>
      </c>
    </row>
    <row r="13" spans="1:12" x14ac:dyDescent="0.2">
      <c r="B13" t="s">
        <v>121</v>
      </c>
      <c r="C13">
        <v>7509</v>
      </c>
      <c r="D13">
        <v>7421</v>
      </c>
      <c r="E13" t="s">
        <v>127</v>
      </c>
      <c r="F13">
        <f t="shared" si="0"/>
        <v>2.5679551973774074E-2</v>
      </c>
      <c r="G13">
        <f>(D13-H13)/H13</f>
        <v>1.3659336156262806E-2</v>
      </c>
      <c r="H13">
        <v>7321</v>
      </c>
      <c r="I13" s="21">
        <v>0.10695260210353701</v>
      </c>
      <c r="J13" s="22">
        <f t="shared" si="1"/>
        <v>6538.0000000000055</v>
      </c>
    </row>
    <row r="14" spans="1:12" x14ac:dyDescent="0.2">
      <c r="I14" s="21"/>
    </row>
    <row r="15" spans="1:12" x14ac:dyDescent="0.2">
      <c r="A15" t="s">
        <v>73</v>
      </c>
      <c r="B15" t="s">
        <v>119</v>
      </c>
      <c r="C15">
        <v>5826</v>
      </c>
      <c r="D15">
        <v>5768</v>
      </c>
      <c r="E15" t="s">
        <v>133</v>
      </c>
      <c r="F15">
        <f t="shared" si="0"/>
        <v>1.4275766016713091E-2</v>
      </c>
      <c r="G15">
        <f>(D15-H15)/H15</f>
        <v>4.178272980501393E-3</v>
      </c>
      <c r="H15">
        <v>5744</v>
      </c>
      <c r="I15" s="21">
        <v>7.3467966573816101E-2</v>
      </c>
      <c r="J15" s="22">
        <f t="shared" si="1"/>
        <v>5322.0000000000009</v>
      </c>
    </row>
    <row r="16" spans="1:12" x14ac:dyDescent="0.2">
      <c r="B16" t="s">
        <v>76</v>
      </c>
      <c r="C16">
        <v>5996</v>
      </c>
      <c r="D16">
        <v>5733</v>
      </c>
      <c r="E16" t="s">
        <v>134</v>
      </c>
      <c r="F16">
        <f t="shared" si="0"/>
        <v>4.9168853893263344E-2</v>
      </c>
      <c r="G16">
        <f>(D16-H16)/H16</f>
        <v>3.1496062992125984E-3</v>
      </c>
      <c r="H16">
        <v>5715</v>
      </c>
      <c r="I16" s="21">
        <v>9.2738407699037601E-2</v>
      </c>
      <c r="J16" s="22">
        <f t="shared" si="1"/>
        <v>5185</v>
      </c>
    </row>
    <row r="17" spans="1:10" x14ac:dyDescent="0.2">
      <c r="B17" t="s">
        <v>77</v>
      </c>
      <c r="C17">
        <v>5818</v>
      </c>
      <c r="D17">
        <v>5792</v>
      </c>
      <c r="E17" t="s">
        <v>135</v>
      </c>
      <c r="F17">
        <f t="shared" si="0"/>
        <v>1.6244541484716157E-2</v>
      </c>
      <c r="G17">
        <f>(D17-H17)/H17</f>
        <v>1.1703056768558952E-2</v>
      </c>
      <c r="H17">
        <v>5725</v>
      </c>
      <c r="I17" s="21">
        <v>8.0349344978165899E-2</v>
      </c>
      <c r="J17" s="22">
        <f t="shared" si="1"/>
        <v>5265</v>
      </c>
    </row>
    <row r="18" spans="1:10" x14ac:dyDescent="0.2">
      <c r="B18" t="s">
        <v>120</v>
      </c>
      <c r="C18">
        <v>5813</v>
      </c>
      <c r="D18">
        <v>5763</v>
      </c>
      <c r="E18" t="s">
        <v>136</v>
      </c>
      <c r="F18">
        <f t="shared" si="0"/>
        <v>1.6081104701975178E-2</v>
      </c>
      <c r="G18">
        <f>(D18-H18)/H18</f>
        <v>7.341373885684321E-3</v>
      </c>
      <c r="H18">
        <v>5721</v>
      </c>
      <c r="I18" s="21">
        <v>8.2503058905785701E-2</v>
      </c>
      <c r="J18" s="22">
        <f t="shared" si="1"/>
        <v>5249</v>
      </c>
    </row>
    <row r="19" spans="1:10" x14ac:dyDescent="0.2">
      <c r="B19" t="s">
        <v>121</v>
      </c>
      <c r="C19">
        <v>5671</v>
      </c>
      <c r="D19">
        <v>5609</v>
      </c>
      <c r="E19" t="s">
        <v>137</v>
      </c>
      <c r="F19">
        <f t="shared" si="0"/>
        <v>1.3946003933488289E-2</v>
      </c>
      <c r="G19">
        <f>(D19-H19)/H19</f>
        <v>2.8607187555873413E-3</v>
      </c>
      <c r="H19">
        <v>5593</v>
      </c>
      <c r="I19" s="21">
        <v>8.5642767745396003E-2</v>
      </c>
      <c r="J19" s="22">
        <f t="shared" si="1"/>
        <v>5114</v>
      </c>
    </row>
    <row r="20" spans="1:10" x14ac:dyDescent="0.2">
      <c r="I20" s="21"/>
    </row>
    <row r="21" spans="1:10" x14ac:dyDescent="0.2">
      <c r="A21" t="s">
        <v>75</v>
      </c>
      <c r="B21" t="s">
        <v>119</v>
      </c>
      <c r="C21">
        <v>7742</v>
      </c>
      <c r="D21">
        <v>7711</v>
      </c>
      <c r="E21" t="s">
        <v>138</v>
      </c>
      <c r="F21">
        <f t="shared" si="0"/>
        <v>7.9416742611639109E-3</v>
      </c>
      <c r="G21">
        <f>(D21-H21)/H21</f>
        <v>3.9057414399166776E-3</v>
      </c>
      <c r="H21">
        <v>7681</v>
      </c>
      <c r="I21" s="21">
        <v>5.4550188777502902E-2</v>
      </c>
      <c r="J21" s="22">
        <f t="shared" si="1"/>
        <v>7262</v>
      </c>
    </row>
    <row r="22" spans="1:10" x14ac:dyDescent="0.2">
      <c r="B22" t="s">
        <v>76</v>
      </c>
      <c r="C22">
        <v>7202</v>
      </c>
      <c r="D22">
        <v>7156</v>
      </c>
      <c r="E22" t="s">
        <v>139</v>
      </c>
      <c r="F22">
        <f t="shared" si="0"/>
        <v>7.977606717984604E-3</v>
      </c>
      <c r="G22">
        <f>(D22-H22)/H22</f>
        <v>1.5395381385584325E-3</v>
      </c>
      <c r="H22">
        <v>7145</v>
      </c>
      <c r="I22" s="21">
        <v>5.8782365290412801E-2</v>
      </c>
      <c r="J22" s="22">
        <f t="shared" si="1"/>
        <v>6725.0000000000009</v>
      </c>
    </row>
    <row r="23" spans="1:10" x14ac:dyDescent="0.2">
      <c r="B23" t="s">
        <v>77</v>
      </c>
      <c r="C23">
        <v>7430</v>
      </c>
      <c r="D23">
        <v>7428</v>
      </c>
      <c r="E23" t="s">
        <v>140</v>
      </c>
      <c r="F23">
        <f t="shared" si="0"/>
        <v>2.8343906060197058E-3</v>
      </c>
      <c r="G23">
        <f>(D23-H23)/H23</f>
        <v>2.5644486435416384E-3</v>
      </c>
      <c r="H23">
        <v>7409</v>
      </c>
      <c r="I23" s="21">
        <v>6.0601970576325999E-2</v>
      </c>
      <c r="J23" s="22">
        <f t="shared" si="1"/>
        <v>6960.0000000000009</v>
      </c>
    </row>
    <row r="24" spans="1:10" x14ac:dyDescent="0.2">
      <c r="B24" t="s">
        <v>120</v>
      </c>
      <c r="C24">
        <v>7840</v>
      </c>
      <c r="D24">
        <v>7763</v>
      </c>
      <c r="E24" t="s">
        <v>141</v>
      </c>
      <c r="F24">
        <f t="shared" si="0"/>
        <v>1.344364012409514E-2</v>
      </c>
      <c r="G24">
        <f>(D24-H24)/H24</f>
        <v>3.4901758014477765E-3</v>
      </c>
      <c r="H24">
        <v>7736</v>
      </c>
      <c r="I24" s="21">
        <v>6.7088934850051699E-2</v>
      </c>
      <c r="J24" s="22">
        <f t="shared" si="1"/>
        <v>7217</v>
      </c>
    </row>
    <row r="25" spans="1:10" x14ac:dyDescent="0.2">
      <c r="B25" t="s">
        <v>121</v>
      </c>
      <c r="C25">
        <v>7525</v>
      </c>
      <c r="D25">
        <v>7486</v>
      </c>
      <c r="E25" t="s">
        <v>142</v>
      </c>
      <c r="F25">
        <f t="shared" si="0"/>
        <v>5.7471264367816091E-3</v>
      </c>
      <c r="G25">
        <f>(D25-H25)/H25</f>
        <v>5.3461641272387062E-4</v>
      </c>
      <c r="H25">
        <v>7482</v>
      </c>
      <c r="I25" s="21">
        <v>6.5356856455493106E-2</v>
      </c>
      <c r="J25" s="22">
        <f t="shared" si="1"/>
        <v>6993</v>
      </c>
    </row>
  </sheetData>
  <mergeCells count="4">
    <mergeCell ref="C1:D1"/>
    <mergeCell ref="A1:A2"/>
    <mergeCell ref="B1:B2"/>
    <mergeCell ref="E1:E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3D65DF-FE58-4943-912D-421C3ACD79B7}">
  <dimension ref="A1:AC24"/>
  <sheetViews>
    <sheetView zoomScale="125" zoomScaleNormal="160" workbookViewId="0">
      <selection activeCell="S20" sqref="S20:S24"/>
    </sheetView>
  </sheetViews>
  <sheetFormatPr baseColWidth="10" defaultRowHeight="16" x14ac:dyDescent="0.2"/>
  <cols>
    <col min="1" max="1" width="18.5" bestFit="1" customWidth="1"/>
    <col min="2" max="2" width="15.83203125" bestFit="1" customWidth="1"/>
    <col min="3" max="3" width="8" customWidth="1"/>
    <col min="4" max="4" width="11.1640625" style="22" customWidth="1"/>
    <col min="5" max="5" width="10.1640625" customWidth="1"/>
    <col min="6" max="6" width="7.1640625" customWidth="1"/>
    <col min="7" max="7" width="6" customWidth="1"/>
    <col min="8" max="8" width="5.83203125" customWidth="1"/>
    <col min="9" max="9" width="5.6640625" customWidth="1"/>
    <col min="10" max="10" width="7.83203125" customWidth="1"/>
    <col min="11" max="16" width="7" customWidth="1"/>
    <col min="18" max="18" width="14.5" bestFit="1" customWidth="1"/>
    <col min="19" max="20" width="14.5" customWidth="1"/>
    <col min="21" max="22" width="13.33203125" customWidth="1"/>
    <col min="29" max="29" width="14.1640625" bestFit="1" customWidth="1"/>
    <col min="30" max="30" width="12" bestFit="1" customWidth="1"/>
  </cols>
  <sheetData>
    <row r="1" spans="1:29" x14ac:dyDescent="0.2">
      <c r="A1" t="s">
        <v>0</v>
      </c>
      <c r="B1" t="s">
        <v>80</v>
      </c>
      <c r="C1" t="s">
        <v>97</v>
      </c>
      <c r="D1" t="s">
        <v>51</v>
      </c>
      <c r="E1" t="s">
        <v>53</v>
      </c>
      <c r="F1" t="s">
        <v>98</v>
      </c>
      <c r="G1" t="s">
        <v>99</v>
      </c>
      <c r="H1" t="s">
        <v>100</v>
      </c>
      <c r="I1" t="s">
        <v>102</v>
      </c>
      <c r="J1" t="s">
        <v>101</v>
      </c>
      <c r="L1" t="s">
        <v>83</v>
      </c>
      <c r="M1" t="s">
        <v>111</v>
      </c>
      <c r="N1" t="s">
        <v>10</v>
      </c>
      <c r="P1" t="s">
        <v>110</v>
      </c>
      <c r="Q1" t="s">
        <v>83</v>
      </c>
      <c r="R1" t="s">
        <v>89</v>
      </c>
      <c r="S1" t="s">
        <v>108</v>
      </c>
      <c r="T1" t="s">
        <v>109</v>
      </c>
      <c r="U1" t="s">
        <v>94</v>
      </c>
      <c r="V1" t="s">
        <v>95</v>
      </c>
      <c r="X1" s="17" t="s">
        <v>7</v>
      </c>
      <c r="Y1" t="s">
        <v>86</v>
      </c>
      <c r="Z1" t="s">
        <v>88</v>
      </c>
      <c r="AA1" t="s">
        <v>87</v>
      </c>
      <c r="AC1" t="s">
        <v>82</v>
      </c>
    </row>
    <row r="2" spans="1:29" x14ac:dyDescent="0.2">
      <c r="A2" s="14" t="s">
        <v>93</v>
      </c>
      <c r="B2" t="s">
        <v>68</v>
      </c>
      <c r="C2">
        <v>7164</v>
      </c>
      <c r="D2" s="22">
        <f>C2*(1-E2)</f>
        <v>6378</v>
      </c>
      <c r="E2" s="21">
        <v>0.109715242881072</v>
      </c>
      <c r="L2">
        <v>7453</v>
      </c>
      <c r="M2">
        <v>7289</v>
      </c>
      <c r="N2">
        <v>7450</v>
      </c>
      <c r="O2">
        <v>7523</v>
      </c>
      <c r="P2">
        <v>7583</v>
      </c>
      <c r="Q2" s="4">
        <v>7284</v>
      </c>
      <c r="R2">
        <v>7722</v>
      </c>
      <c r="T2">
        <v>7872</v>
      </c>
      <c r="U2">
        <v>6228</v>
      </c>
      <c r="V2">
        <v>1.4999999999999999E-2</v>
      </c>
      <c r="X2" s="18">
        <v>5324</v>
      </c>
      <c r="Y2" s="4">
        <f>(Q2-X2)/Q2</f>
        <v>0.26908292147171886</v>
      </c>
      <c r="Z2">
        <f>(R2-X2)/R2</f>
        <v>0.31054131054131057</v>
      </c>
      <c r="AA2" t="e">
        <f>(#REF!-X2)/#REF!</f>
        <v>#REF!</v>
      </c>
      <c r="AC2" t="s">
        <v>85</v>
      </c>
    </row>
    <row r="3" spans="1:29" x14ac:dyDescent="0.2">
      <c r="B3" t="s">
        <v>76</v>
      </c>
      <c r="C3">
        <v>6709</v>
      </c>
      <c r="D3" s="22">
        <f>C3*(1-E3)</f>
        <v>5980.0000000000036</v>
      </c>
      <c r="E3" s="21">
        <v>0.10866000894321</v>
      </c>
      <c r="L3">
        <v>7030</v>
      </c>
      <c r="M3">
        <v>7023</v>
      </c>
      <c r="N3">
        <v>7022</v>
      </c>
      <c r="P3">
        <v>7022</v>
      </c>
      <c r="Q3" s="4">
        <v>7017</v>
      </c>
      <c r="R3">
        <v>7120</v>
      </c>
      <c r="U3">
        <v>5915</v>
      </c>
      <c r="V3">
        <v>1.5970000000000002E-2</v>
      </c>
      <c r="X3" s="18">
        <v>4960</v>
      </c>
      <c r="Y3" s="4">
        <f>(Q3-X3)/Q3</f>
        <v>0.29314521875445348</v>
      </c>
      <c r="Z3">
        <f>(R3-X3)/R3</f>
        <v>0.30337078651685395</v>
      </c>
      <c r="AA3" t="e">
        <f>(#REF!-X3)/#REF!</f>
        <v>#REF!</v>
      </c>
    </row>
    <row r="4" spans="1:29" x14ac:dyDescent="0.2">
      <c r="B4" t="s">
        <v>77</v>
      </c>
      <c r="C4">
        <v>7135</v>
      </c>
      <c r="D4" s="22">
        <f>C4*(1-E4)</f>
        <v>6246.0000000000045</v>
      </c>
      <c r="E4" s="21">
        <v>0.124597056762438</v>
      </c>
      <c r="L4">
        <v>7316</v>
      </c>
      <c r="N4">
        <v>7443</v>
      </c>
      <c r="P4">
        <v>7464</v>
      </c>
      <c r="Q4" t="s">
        <v>8</v>
      </c>
      <c r="R4" s="4">
        <v>7416</v>
      </c>
      <c r="T4">
        <v>7985</v>
      </c>
      <c r="X4" s="18" t="s">
        <v>8</v>
      </c>
      <c r="Y4" t="e">
        <f>(Q4-X4)/Q4</f>
        <v>#VALUE!</v>
      </c>
      <c r="Z4" t="e">
        <f>(R4-X4)/R4</f>
        <v>#VALUE!</v>
      </c>
      <c r="AA4" s="4" t="e">
        <f>(#REF!-X4)/#REF!</f>
        <v>#REF!</v>
      </c>
    </row>
    <row r="5" spans="1:29" x14ac:dyDescent="0.2">
      <c r="B5" t="s">
        <v>69</v>
      </c>
      <c r="C5">
        <v>7235</v>
      </c>
      <c r="D5" s="22">
        <f>C5*(1-E5)</f>
        <v>6486.0000000000045</v>
      </c>
      <c r="E5" s="21">
        <v>0.103524533517622</v>
      </c>
      <c r="L5">
        <v>7705</v>
      </c>
      <c r="P5">
        <v>7442</v>
      </c>
      <c r="Q5" s="4">
        <v>7447</v>
      </c>
      <c r="R5">
        <v>7474</v>
      </c>
      <c r="T5">
        <v>8040</v>
      </c>
      <c r="X5" s="18">
        <v>5541</v>
      </c>
      <c r="Y5" s="4">
        <f>(Q5-X5)/Q5</f>
        <v>0.25594199006311269</v>
      </c>
      <c r="Z5">
        <f>(R5-X5)/R5</f>
        <v>0.25862991704575861</v>
      </c>
      <c r="AA5" t="e">
        <f>(#REF!-X5)/#REF!</f>
        <v>#REF!</v>
      </c>
    </row>
    <row r="6" spans="1:29" x14ac:dyDescent="0.2">
      <c r="B6" t="s">
        <v>70</v>
      </c>
      <c r="C6">
        <v>7154</v>
      </c>
      <c r="D6" s="22">
        <f>C6*(1-E6)</f>
        <v>6404.0000000000018</v>
      </c>
      <c r="E6" s="21">
        <v>0.10483645512999699</v>
      </c>
      <c r="L6">
        <v>7490</v>
      </c>
      <c r="P6">
        <v>7581</v>
      </c>
      <c r="Q6" s="4">
        <v>7472</v>
      </c>
      <c r="R6">
        <v>7759</v>
      </c>
      <c r="T6">
        <v>8115</v>
      </c>
      <c r="X6" s="18">
        <v>5324</v>
      </c>
      <c r="Y6" s="4">
        <f>(Q6-X6)/Q6</f>
        <v>0.28747323340471093</v>
      </c>
      <c r="Z6">
        <f>(R6-X6)/R6</f>
        <v>0.31382910168836192</v>
      </c>
      <c r="AA6" t="e">
        <f>(#REF!-X6)/#REF!</f>
        <v>#REF!</v>
      </c>
    </row>
    <row r="7" spans="1:29" x14ac:dyDescent="0.2">
      <c r="E7" s="21"/>
      <c r="X7" s="18"/>
    </row>
    <row r="8" spans="1:29" x14ac:dyDescent="0.2">
      <c r="A8" t="s">
        <v>74</v>
      </c>
      <c r="B8" t="s">
        <v>68</v>
      </c>
      <c r="C8">
        <v>7253</v>
      </c>
      <c r="D8" s="22">
        <f>C8*(1-E8)</f>
        <v>6704</v>
      </c>
      <c r="E8" s="21">
        <v>7.5692816765476303E-2</v>
      </c>
      <c r="F8">
        <v>7430</v>
      </c>
      <c r="G8">
        <v>7365</v>
      </c>
      <c r="H8">
        <v>7384</v>
      </c>
      <c r="I8">
        <v>7585</v>
      </c>
      <c r="J8">
        <v>7609</v>
      </c>
      <c r="Q8" s="4">
        <v>7435</v>
      </c>
      <c r="R8">
        <v>7753</v>
      </c>
      <c r="S8">
        <v>7782</v>
      </c>
      <c r="T8">
        <v>7963</v>
      </c>
      <c r="U8">
        <v>7845</v>
      </c>
      <c r="X8" s="18">
        <v>5702</v>
      </c>
      <c r="Y8" s="4">
        <f>(Q8-X8)/Q8</f>
        <v>0.23308675184936112</v>
      </c>
      <c r="Z8">
        <f>(R8-X8)/R8</f>
        <v>0.26454275764220303</v>
      </c>
      <c r="AA8" t="e">
        <f>(#REF!-X8)/#REF!</f>
        <v>#REF!</v>
      </c>
    </row>
    <row r="9" spans="1:29" x14ac:dyDescent="0.2">
      <c r="B9" t="s">
        <v>76</v>
      </c>
      <c r="C9">
        <v>6648</v>
      </c>
      <c r="D9" s="22">
        <f>C9*(1-E9)</f>
        <v>6341.0000000000009</v>
      </c>
      <c r="E9" s="21">
        <v>4.6179302045728003E-2</v>
      </c>
      <c r="F9">
        <v>7046</v>
      </c>
      <c r="G9">
        <v>6983</v>
      </c>
      <c r="H9">
        <v>6894</v>
      </c>
      <c r="I9">
        <v>7094</v>
      </c>
      <c r="J9">
        <v>6956</v>
      </c>
      <c r="Q9" s="4">
        <v>6798</v>
      </c>
      <c r="R9">
        <v>6886</v>
      </c>
      <c r="S9">
        <v>7560</v>
      </c>
      <c r="T9">
        <v>7657</v>
      </c>
      <c r="U9">
        <v>7160</v>
      </c>
      <c r="X9" s="18">
        <v>5206</v>
      </c>
      <c r="Y9" s="4">
        <f>(Q9-X9)/Q9</f>
        <v>0.23418652544866136</v>
      </c>
      <c r="Z9">
        <f>(R9-X9)/R9</f>
        <v>0.24397327911704908</v>
      </c>
      <c r="AA9" t="e">
        <f>(#REF!-X9)/#REF!</f>
        <v>#REF!</v>
      </c>
    </row>
    <row r="10" spans="1:29" x14ac:dyDescent="0.2">
      <c r="B10" t="s">
        <v>77</v>
      </c>
      <c r="C10">
        <v>6995</v>
      </c>
      <c r="D10" s="22">
        <f>C10*(1-E10)</f>
        <v>6507</v>
      </c>
      <c r="E10" s="21">
        <v>6.97641172265904E-2</v>
      </c>
      <c r="Q10">
        <v>7203</v>
      </c>
      <c r="R10" s="4">
        <v>7182</v>
      </c>
      <c r="U10">
        <v>7448</v>
      </c>
      <c r="X10" s="18">
        <v>5389</v>
      </c>
      <c r="Y10">
        <f>(Q10-X10)/Q10</f>
        <v>0.25183951131472998</v>
      </c>
      <c r="Z10" s="4">
        <f>(R10-X10)/R10</f>
        <v>0.24965190754664437</v>
      </c>
      <c r="AA10" t="e">
        <f>(#REF!-X10)/#REF!</f>
        <v>#REF!</v>
      </c>
    </row>
    <row r="11" spans="1:29" x14ac:dyDescent="0.2">
      <c r="B11" t="s">
        <v>69</v>
      </c>
      <c r="C11">
        <v>7381</v>
      </c>
      <c r="D11" s="22">
        <f>C11*(1-E11)</f>
        <v>6842.0000000000009</v>
      </c>
      <c r="E11" s="21">
        <v>7.3025335320417203E-2</v>
      </c>
      <c r="Q11" s="4">
        <v>7471</v>
      </c>
      <c r="R11">
        <v>7537</v>
      </c>
      <c r="S11">
        <v>8124</v>
      </c>
      <c r="U11">
        <v>7917</v>
      </c>
      <c r="X11" s="18">
        <v>5837</v>
      </c>
      <c r="Y11" s="4">
        <f>(Q11-X11)/Q11</f>
        <v>0.218712354437157</v>
      </c>
      <c r="Z11">
        <f>(R11-X11)/R11</f>
        <v>0.22555393392596523</v>
      </c>
      <c r="AA11" t="e">
        <f>(#REF!-X11)/#REF!</f>
        <v>#REF!</v>
      </c>
    </row>
    <row r="12" spans="1:29" x14ac:dyDescent="0.2">
      <c r="B12" t="s">
        <v>70</v>
      </c>
      <c r="C12">
        <v>7321</v>
      </c>
      <c r="D12" s="22">
        <f>C12*(1-E12)</f>
        <v>6538.0000000000055</v>
      </c>
      <c r="E12" s="21">
        <v>0.10695260210353701</v>
      </c>
      <c r="Q12" s="4">
        <v>8595</v>
      </c>
      <c r="R12">
        <v>7718</v>
      </c>
      <c r="S12">
        <v>8713</v>
      </c>
      <c r="U12">
        <v>7793</v>
      </c>
      <c r="X12" s="18">
        <v>5614</v>
      </c>
      <c r="Y12" s="4">
        <f>(Q12-X12)/Q12</f>
        <v>0.34682955206515415</v>
      </c>
      <c r="Z12">
        <f>(R12-X12)/R12</f>
        <v>0.27260948432236332</v>
      </c>
      <c r="AA12" t="e">
        <f>(#REF!-X12)/#REF!</f>
        <v>#REF!</v>
      </c>
    </row>
    <row r="13" spans="1:29" x14ac:dyDescent="0.2">
      <c r="E13" s="21"/>
      <c r="X13" s="18"/>
    </row>
    <row r="14" spans="1:29" x14ac:dyDescent="0.2">
      <c r="A14" t="s">
        <v>73</v>
      </c>
      <c r="B14" t="s">
        <v>68</v>
      </c>
      <c r="C14">
        <v>5744</v>
      </c>
      <c r="D14" s="22">
        <f>C14*(1-E14)</f>
        <v>5322.0000000000009</v>
      </c>
      <c r="E14" s="21">
        <v>7.3467966573816101E-2</v>
      </c>
      <c r="Q14" s="4">
        <v>5826</v>
      </c>
      <c r="R14">
        <v>5838</v>
      </c>
      <c r="S14">
        <v>8312</v>
      </c>
      <c r="X14" s="18">
        <v>4761</v>
      </c>
      <c r="Y14" s="4">
        <f>(Q14-X14)/Q14</f>
        <v>0.18280123583934088</v>
      </c>
      <c r="Z14">
        <f>(R14-X14)/R14</f>
        <v>0.18448098663926002</v>
      </c>
      <c r="AA14" t="e">
        <f>(#REF!-X14)/#REF!</f>
        <v>#REF!</v>
      </c>
    </row>
    <row r="15" spans="1:29" x14ac:dyDescent="0.2">
      <c r="B15" t="s">
        <v>76</v>
      </c>
      <c r="C15">
        <v>5715</v>
      </c>
      <c r="D15" s="22">
        <f>C15*(1-E15)</f>
        <v>5185</v>
      </c>
      <c r="E15" s="21">
        <v>9.2738407699037601E-2</v>
      </c>
      <c r="Q15">
        <v>5996</v>
      </c>
      <c r="R15" s="4">
        <v>5764</v>
      </c>
      <c r="X15" s="18">
        <v>4609</v>
      </c>
      <c r="Y15">
        <f>(Q15-X15)/Q15</f>
        <v>0.23132088058705805</v>
      </c>
      <c r="Z15" s="4">
        <f>(R15-X15)/R15</f>
        <v>0.20038167938931298</v>
      </c>
      <c r="AA15" t="e">
        <f>(#REF!-X15)/#REF!</f>
        <v>#REF!</v>
      </c>
    </row>
    <row r="16" spans="1:29" x14ac:dyDescent="0.2">
      <c r="B16" t="s">
        <v>77</v>
      </c>
      <c r="C16">
        <v>5725</v>
      </c>
      <c r="D16" s="22">
        <f>C16*(1-E16)</f>
        <v>5265</v>
      </c>
      <c r="E16" s="21">
        <v>8.0349344978165899E-2</v>
      </c>
      <c r="Q16">
        <v>5818</v>
      </c>
      <c r="R16" s="4">
        <v>5807</v>
      </c>
      <c r="X16" s="18">
        <v>4643</v>
      </c>
      <c r="Y16">
        <f>(Q16-X16)/Q16</f>
        <v>0.20195943623238227</v>
      </c>
      <c r="Z16" s="4">
        <f>(R16-X16)/R16</f>
        <v>0.20044773549164802</v>
      </c>
      <c r="AA16" t="e">
        <f>(#REF!-X16)/#REF!</f>
        <v>#REF!</v>
      </c>
    </row>
    <row r="17" spans="1:27" x14ac:dyDescent="0.2">
      <c r="B17" t="s">
        <v>69</v>
      </c>
      <c r="C17">
        <v>5721</v>
      </c>
      <c r="D17" s="22">
        <f>C17*(1-E17)</f>
        <v>5249</v>
      </c>
      <c r="E17" s="21">
        <v>8.2503058905785701E-2</v>
      </c>
      <c r="Q17">
        <v>5813</v>
      </c>
      <c r="R17" s="4">
        <v>5795</v>
      </c>
      <c r="X17" s="18">
        <v>4733</v>
      </c>
      <c r="Y17">
        <f>(Q17-X17)/Q17</f>
        <v>0.18579046963702048</v>
      </c>
      <c r="Z17" s="4">
        <f>(R17-X17)/R17</f>
        <v>0.18326143226919758</v>
      </c>
      <c r="AA17" t="e">
        <f>(#REF!-X17)/#REF!</f>
        <v>#REF!</v>
      </c>
    </row>
    <row r="18" spans="1:27" x14ac:dyDescent="0.2">
      <c r="B18" t="s">
        <v>70</v>
      </c>
      <c r="C18">
        <v>5593</v>
      </c>
      <c r="D18" s="22">
        <f>C18*(1-E18)</f>
        <v>5114</v>
      </c>
      <c r="E18" s="21">
        <v>8.5642767745396003E-2</v>
      </c>
      <c r="Q18">
        <v>5671</v>
      </c>
      <c r="R18" s="4">
        <v>5653</v>
      </c>
      <c r="X18" s="18">
        <v>4533</v>
      </c>
      <c r="Y18">
        <f>(Q18-X18)/Q18</f>
        <v>0.2006700758243696</v>
      </c>
      <c r="Z18" s="4">
        <f>(R18-X18)/R18</f>
        <v>0.19812488943923581</v>
      </c>
      <c r="AA18" t="e">
        <f>(#REF!-X18)/#REF!</f>
        <v>#REF!</v>
      </c>
    </row>
    <row r="19" spans="1:27" x14ac:dyDescent="0.2">
      <c r="E19" s="21"/>
      <c r="X19" s="18"/>
    </row>
    <row r="20" spans="1:27" x14ac:dyDescent="0.2">
      <c r="A20" t="s">
        <v>75</v>
      </c>
      <c r="B20" t="s">
        <v>68</v>
      </c>
      <c r="C20">
        <v>7681</v>
      </c>
      <c r="D20" s="22">
        <f>C20*(1-E20)</f>
        <v>7262</v>
      </c>
      <c r="E20" s="21">
        <v>5.4550188777502902E-2</v>
      </c>
      <c r="Q20" s="4">
        <v>7742</v>
      </c>
      <c r="R20">
        <v>7786</v>
      </c>
      <c r="S20">
        <v>8312</v>
      </c>
      <c r="X20" s="18">
        <v>6395</v>
      </c>
      <c r="Y20" s="4">
        <f>(Q20-X20)/Q20</f>
        <v>0.17398605011624904</v>
      </c>
      <c r="Z20">
        <f>(R20-X20)/R20</f>
        <v>0.17865399434883122</v>
      </c>
      <c r="AA20" t="e">
        <f>(#REF!-X20)/#REF!</f>
        <v>#REF!</v>
      </c>
    </row>
    <row r="21" spans="1:27" x14ac:dyDescent="0.2">
      <c r="B21" t="s">
        <v>76</v>
      </c>
      <c r="C21">
        <v>7145</v>
      </c>
      <c r="D21" s="22">
        <f>C21*(1-E21)</f>
        <v>6725.0000000000009</v>
      </c>
      <c r="E21" s="21">
        <v>5.8782365290412801E-2</v>
      </c>
      <c r="Q21">
        <v>7202</v>
      </c>
      <c r="R21" s="4">
        <v>7197</v>
      </c>
      <c r="S21">
        <v>7680</v>
      </c>
      <c r="X21" s="18">
        <v>5696</v>
      </c>
      <c r="Y21">
        <f>(Q21-X21)/Q21</f>
        <v>0.20910858094973619</v>
      </c>
      <c r="Z21" s="4">
        <f>(R21-X21)/R21</f>
        <v>0.20855912185632902</v>
      </c>
      <c r="AA21" t="e">
        <f>(#REF!-X21)/#REF!</f>
        <v>#REF!</v>
      </c>
    </row>
    <row r="22" spans="1:27" x14ac:dyDescent="0.2">
      <c r="B22" t="s">
        <v>77</v>
      </c>
      <c r="C22">
        <v>7409</v>
      </c>
      <c r="D22" s="22">
        <f>C22*(1-E22)</f>
        <v>6960.0000000000009</v>
      </c>
      <c r="E22" s="21">
        <v>6.0601970576325999E-2</v>
      </c>
      <c r="Q22" s="4">
        <v>7430</v>
      </c>
      <c r="R22">
        <v>7466</v>
      </c>
      <c r="S22">
        <v>7811</v>
      </c>
      <c r="X22" s="18">
        <v>6294</v>
      </c>
      <c r="Y22" s="4">
        <f>(Q22-X22)/Q22</f>
        <v>0.15289367429340511</v>
      </c>
      <c r="Z22">
        <f>(R22-X22)/R22</f>
        <v>0.15697830163407447</v>
      </c>
      <c r="AA22" t="e">
        <f>(#REF!-X22)/#REF!</f>
        <v>#REF!</v>
      </c>
    </row>
    <row r="23" spans="1:27" x14ac:dyDescent="0.2">
      <c r="B23" t="s">
        <v>69</v>
      </c>
      <c r="C23">
        <v>7736</v>
      </c>
      <c r="D23" s="22">
        <f>C23*(1-E23)</f>
        <v>7217</v>
      </c>
      <c r="E23" s="21">
        <v>6.7088934850051699E-2</v>
      </c>
      <c r="Q23">
        <v>7840</v>
      </c>
      <c r="R23" s="4">
        <v>7806</v>
      </c>
      <c r="S23">
        <v>8327</v>
      </c>
      <c r="X23" s="18">
        <v>6349</v>
      </c>
      <c r="Y23">
        <f>(Q23-X23)/Q23</f>
        <v>0.19017857142857142</v>
      </c>
      <c r="Z23" s="4">
        <f>(R23-X23)/R23</f>
        <v>0.18665129387650525</v>
      </c>
      <c r="AA23" t="e">
        <f>(#REF!-X23)/#REF!</f>
        <v>#REF!</v>
      </c>
    </row>
    <row r="24" spans="1:27" x14ac:dyDescent="0.2">
      <c r="B24" t="s">
        <v>70</v>
      </c>
      <c r="C24">
        <v>7482</v>
      </c>
      <c r="D24" s="22">
        <f>C24*(1-E24)</f>
        <v>6993</v>
      </c>
      <c r="E24" s="21">
        <v>6.5356856455493106E-2</v>
      </c>
      <c r="Q24" s="4">
        <v>7525</v>
      </c>
      <c r="R24">
        <v>7654</v>
      </c>
      <c r="S24">
        <v>8042</v>
      </c>
      <c r="X24" s="19">
        <v>6020</v>
      </c>
      <c r="Y24" s="4">
        <f>(Q24-X24)/Q24</f>
        <v>0.2</v>
      </c>
      <c r="Z24">
        <f>(R24-X24)/R24</f>
        <v>0.21348314606741572</v>
      </c>
      <c r="AA24" t="e">
        <f>(#REF!-X24)/#REF!</f>
        <v>#REF!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Sheet1</vt:lpstr>
      <vt:lpstr>Sheet3</vt:lpstr>
      <vt:lpstr>Sheet2</vt:lpstr>
      <vt:lpstr>wrong</vt:lpstr>
      <vt:lpstr>Sheet4</vt:lpstr>
      <vt:lpstr>greedy</vt:lpstr>
      <vt:lpstr>greedy-tw</vt:lpstr>
      <vt:lpstr>greedy-tw-carc</vt:lpstr>
      <vt:lpstr>present</vt:lpstr>
      <vt:lpstr>greedy-tw-lagrange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Jinghong Miao</dc:creator>
  <cp:lastModifiedBy>Jinghong Miao</cp:lastModifiedBy>
  <dcterms:created xsi:type="dcterms:W3CDTF">2025-08-04T19:24:27Z</dcterms:created>
  <dcterms:modified xsi:type="dcterms:W3CDTF">2025-11-14T18:02:08Z</dcterms:modified>
</cp:coreProperties>
</file>